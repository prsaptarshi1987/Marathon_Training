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saptarshi\Downloads\Marathon_Training-main\Marathon_Training-main\"/>
    </mc:Choice>
  </mc:AlternateContent>
  <xr:revisionPtr revIDLastSave="0" documentId="13_ncr:1_{7369C00D-C106-4562-A2D6-7856CF8ACAE3}" xr6:coauthVersionLast="47" xr6:coauthVersionMax="47" xr10:uidLastSave="{00000000-0000-0000-0000-000000000000}"/>
  <bookViews>
    <workbookView xWindow="2868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<sst xmlns="http://schemas.openxmlformats.org/spreadsheetml/2006/main" count="592" uniqueCount="115">
  <si>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</si>
  <si>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</si>
  <si>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</si>
  <si>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</si>
  <si>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</si>
  <si>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</si>
  <si>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</si>
  <si>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</si>
  <si>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</si>
  <si>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</si>
  <si>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</si>
  <si>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</si>
  <si>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</si>
  <si>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</si>
  <si>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</si>
  <si>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</si>
  <si>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</si>
  <si>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</si>
  <si>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</si>
  <si>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</si>
  <si>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</si>
  <si>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</si>
  <si>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</si>
  <si>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</si>
  <si>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</si>
  <si>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</si>
  <si>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</si>
  <si>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</si>
  <si>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</si>
  <si>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</si>
  <si>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</si>
  <si>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</si>
  <si>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</si>
  <si>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</si>
  <si>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</si>
  <si>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</si>
  <si>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</si>
  <si>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</si>
  <si>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</si>
  <si>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</si>
  <si>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</si>
  <si>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</si>
  <si>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</si>
  <si>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</si>
  <si>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</si>
  <si>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</si>
  <si>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</si>
  <si>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</si>
  <si>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</si>
  <si>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</si>
  <si>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</si>
  <si>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</si>
  <si>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</si>
  <si>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</si>
  <si>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</si>
  <si>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</si>
  <si>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</si>
  <si>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</si>
  <si>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</si>
  <si>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</si>
  <si>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</si>
  <si>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</si>
  <si>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</si>
  <si>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</si>
  <si>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</si>
  <si>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</si>
  <si>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</si>
  <si>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</si>
  <si>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</si>
  <si>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</si>
  <si>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</si>
  <si>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</si>
  <si>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</si>
  <si>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</si>
  <si>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</si>
  <si>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</si>
  <si>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</si>
  <si>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</si>
  <si>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</si>
  <si>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</si>
  <si>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</si>
  <si>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</si>
  <si>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</si>
  <si>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</si>
  <si>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</si>
  <si>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</si>
  <si>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</si>
  <si>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</si>
  <si>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</si>
  <si>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</si>
  <si>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</si>
  <si>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</si>
  <si>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</si>
  <si>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</si>
  <si>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</si>
  <si>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</si>
  <si>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</si>
  <si>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</si>
  <si>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</si>
  <si>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</si>
  <si>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</si>
  <si>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</si>
  <si>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</si>
  <si>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</si>
  <si>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</si>
  <si>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</si>
  <si>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</si>
  <si>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</si>
  <si>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</si>
  <si>
    <t>Just took a walk</t>
  </si>
  <si>
    <t>Just walk with dog</t>
  </si>
  <si>
    <t>30 min Strength for Runners with Rebecca Kennedy</t>
  </si>
  <si>
    <t>20lb max weight training with focus on squats.</t>
  </si>
  <si>
    <t>10 min warmup + 45 min class + 30 min class with last 10 min in cooldown</t>
  </si>
  <si>
    <t>Very slow running. Did hit some hills so heart rate spiked during that time. But mostly the heart rate was below 148 bpm.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</si>
</sst>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12" activePane="bottomRight" state="frozen"/>
      <selection pane="topRight" activeCell="C1" sqref="C1"/>
      <selection pane="bottomLeft" activeCell="A6" sqref="A6"/>
      <selection pane="bottomRight" activeCell="N32" sqref="N32"/>
    </sheetView>
  </sheetViews>
  <sheetFormatPr defaultColWidth="8.7265625" defaultRowHeight="14.5" x14ac:dyDescent="0.35"/>
  <cols>
    <col min="2" max="2" width="43.1796875" customWidth="1"/>
    <col min="3" max="3" width="4.81640625" customWidth="1"/>
    <col min="4" max="4" width="3.81640625" customWidth="1"/>
    <col min="5" max="5" width="15.26953125" customWidth="1"/>
    <col min="6" max="6" width="111" customWidth="1"/>
    <col min="7" max="7" width="71.54296875" customWidth="1"/>
    <col min="8" max="8" width="7.7265625" customWidth="1"/>
    <col min="12" max="12" width="9.54296875" customWidth="1"/>
    <col min="13" max="13" width="7.54296875" customWidth="1"/>
    <col min="14" max="14" width="8" customWidth="1"/>
    <col min="15" max="15" width="7.1796875" customWidth="1"/>
    <col min="16" max="16" width="73.54296875" customWidth="1"/>
  </cols>
  <sheetData>
    <row r="2" spans="2:16" ht="19.5" customHeight="1" x14ac:dyDescent="0.4">
      <c r="B2" s="1" t="s">
        <v>0</v>
      </c>
    </row>
    <row r="3" spans="2:16" s="2" customFormat="1" ht="26.25" customHeight="1" x14ac:dyDescent="0.35">
      <c r="B3" s="3" t="s">
        <v>1</v>
      </c>
      <c r="F3" s="3" t="s">
        <v>2</v>
      </c>
    </row>
    <row r="5" spans="2:16" ht="45.75" customHeight="1" x14ac:dyDescent="0.3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3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3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3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3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3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3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3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3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3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3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3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3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3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3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3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3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3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3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3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3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 t="s">
        <v>107</v>
      </c>
      <c r="H25" s="9" t="s">
        <v>22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108</v>
      </c>
    </row>
    <row r="26" spans="2:16" ht="15" customHeight="1" x14ac:dyDescent="0.3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 t="s">
        <v>109</v>
      </c>
      <c r="H26" s="9" t="s">
        <v>22</v>
      </c>
      <c r="I26" s="14">
        <v>0</v>
      </c>
      <c r="J26" s="9">
        <v>36</v>
      </c>
      <c r="K26" s="9">
        <v>1.41</v>
      </c>
      <c r="L26" s="9">
        <v>2</v>
      </c>
      <c r="M26" s="9">
        <v>100</v>
      </c>
      <c r="N26" s="9">
        <v>114</v>
      </c>
      <c r="O26" s="9">
        <v>1</v>
      </c>
      <c r="P26" s="8" t="s">
        <v>110</v>
      </c>
    </row>
    <row r="27" spans="2:16" ht="23.25" customHeight="1" x14ac:dyDescent="0.3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 t="s">
        <v>111</v>
      </c>
      <c r="H27" s="9" t="s">
        <v>22</v>
      </c>
      <c r="I27" s="14">
        <v>0</v>
      </c>
      <c r="J27" s="9">
        <v>32</v>
      </c>
      <c r="K27" s="9">
        <v>0</v>
      </c>
      <c r="L27" s="9">
        <v>0</v>
      </c>
      <c r="M27" s="9">
        <v>122</v>
      </c>
      <c r="N27" s="9">
        <v>150</v>
      </c>
      <c r="O27" s="9">
        <v>3</v>
      </c>
      <c r="P27" s="8" t="s">
        <v>112</v>
      </c>
    </row>
    <row r="28" spans="2:16" ht="23.25" customHeight="1" x14ac:dyDescent="0.3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 t="s">
        <v>113</v>
      </c>
      <c r="H28" s="9" t="s">
        <v>22</v>
      </c>
      <c r="I28" s="6">
        <v>65</v>
      </c>
      <c r="J28" s="9">
        <v>70</v>
      </c>
      <c r="K28" s="9">
        <v>5</v>
      </c>
      <c r="L28" s="9">
        <v>14.3</v>
      </c>
      <c r="M28" s="9">
        <v>132</v>
      </c>
      <c r="N28" s="9">
        <v>158</v>
      </c>
      <c r="O28" s="9">
        <v>3.5</v>
      </c>
      <c r="P28" s="8" t="s">
        <v>114</v>
      </c>
    </row>
    <row r="29" spans="2:16" ht="23.25" customHeight="1" x14ac:dyDescent="0.3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3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3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3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3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3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3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3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3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3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3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3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3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3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3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3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3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3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3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3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3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3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3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3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3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3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3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3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3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3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3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3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3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265625" defaultRowHeight="14.5" x14ac:dyDescent="0.3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4">
      <c r="B2" s="1" t="s">
        <v>52</v>
      </c>
    </row>
    <row r="3" spans="2:6" ht="15" customHeight="1" x14ac:dyDescent="0.35">
      <c r="B3" s="16" t="s">
        <v>53</v>
      </c>
    </row>
    <row r="5" spans="2:6" ht="15" customHeight="1" x14ac:dyDescent="0.3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3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3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35">
      <c r="B8" s="17">
        <v>3</v>
      </c>
      <c r="C8" s="17">
        <f>COUNTIFS(Log!$D$6:$D$61,B8,Log!$H$6:$H$61,"Done")</f>
        <v>7</v>
      </c>
      <c r="D8" s="17">
        <f>SUMIFS(Log!$J$6:$J$61,Log!$D$6:$D$61,B8)</f>
        <v>431</v>
      </c>
      <c r="E8" s="17">
        <f>SUMIFS(Log!$K$6:$K$61,Log!$D$6:$D$61,B8)</f>
        <v>22.82</v>
      </c>
      <c r="F8" s="17">
        <f>IFERROR(AVERAGEIFS(Log!$O$6:$O$61,Log!$D$6:$D$61,B8,Log!$H$6:$H$61,"Done"),"")</f>
        <v>3</v>
      </c>
    </row>
    <row r="9" spans="2:6" ht="15" customHeight="1" x14ac:dyDescent="0.35">
      <c r="B9" s="17">
        <v>4</v>
      </c>
      <c r="C9" s="17">
        <f>COUNTIFS(Log!$D$6:$D$61,B9,Log!$H$6:$H$61,"Done")</f>
        <v>2</v>
      </c>
      <c r="D9" s="17">
        <f>SUMIFS(Log!$J$6:$J$61,Log!$D$6:$D$61,B9)</f>
        <v>102</v>
      </c>
      <c r="E9" s="17">
        <f>SUMIFS(Log!$K$6:$K$61,Log!$D$6:$D$61,B9)</f>
        <v>5</v>
      </c>
      <c r="F9" s="17">
        <f>IFERROR(AVERAGEIFS(Log!$O$6:$O$61,Log!$D$6:$D$61,B9,Log!$H$6:$H$61,"Done"),"")</f>
        <v>3.25</v>
      </c>
    </row>
    <row r="10" spans="2:6" ht="15" customHeight="1" x14ac:dyDescent="0.3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3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3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3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35">
      <c r="B14" s="18" t="s">
        <v>58</v>
      </c>
      <c r="C14" s="19">
        <f>SUM(C6:C13)</f>
        <v>19</v>
      </c>
      <c r="D14" s="19">
        <f>SUM(D6:D13)</f>
        <v>1155</v>
      </c>
      <c r="E14" s="19">
        <f>SUM(E6:E13)</f>
        <v>64.17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265625" defaultRowHeight="14.5" x14ac:dyDescent="0.35"/>
  <cols>
    <col min="2" max="2" width="26" customWidth="1"/>
    <col min="3" max="3" width="95" customWidth="1"/>
  </cols>
  <sheetData>
    <row r="2" spans="2:3" ht="19.5" customHeight="1" x14ac:dyDescent="0.4">
      <c r="B2" s="1" t="s">
        <v>59</v>
      </c>
    </row>
    <row r="3" spans="2:3" ht="15" customHeight="1" x14ac:dyDescent="0.35">
      <c r="B3" s="16" t="s">
        <v>60</v>
      </c>
    </row>
    <row r="5" spans="2:3" ht="45.75" customHeight="1" x14ac:dyDescent="0.35">
      <c r="B5" s="20" t="s">
        <v>61</v>
      </c>
      <c r="C5" s="21" t="s">
        <v>62</v>
      </c>
    </row>
    <row r="7" spans="2:3" ht="45.75" customHeight="1" x14ac:dyDescent="0.35">
      <c r="B7" s="20" t="s">
        <v>63</v>
      </c>
      <c r="C7" s="21" t="s">
        <v>64</v>
      </c>
    </row>
    <row r="9" spans="2:3" ht="45.75" customHeight="1" x14ac:dyDescent="0.35">
      <c r="B9" s="20" t="s">
        <v>65</v>
      </c>
      <c r="C9" s="21" t="s">
        <v>66</v>
      </c>
    </row>
    <row r="11" spans="2:3" ht="70.5" customHeight="1" x14ac:dyDescent="0.35">
      <c r="B11" s="20" t="s">
        <v>67</v>
      </c>
      <c r="C11" s="21" t="s">
        <v>68</v>
      </c>
    </row>
    <row r="13" spans="2:3" ht="77.25" customHeight="1" x14ac:dyDescent="0.35">
      <c r="B13" s="20" t="s">
        <v>69</v>
      </c>
      <c r="C13" s="21" t="s">
        <v>70</v>
      </c>
    </row>
    <row r="15" spans="2:3" ht="45.75" customHeight="1" x14ac:dyDescent="0.35">
      <c r="B15" s="20" t="s">
        <v>71</v>
      </c>
      <c r="C15" s="21" t="s">
        <v>72</v>
      </c>
    </row>
    <row r="17" spans="2:3" ht="45.75" customHeight="1" x14ac:dyDescent="0.3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 (x)</cp:lastModifiedBy>
  <cp:revision>0</cp:revision>
  <dcterms:created xsi:type="dcterms:W3CDTF">2026-07-27T14:12:52Z</dcterms:created>
  <dcterms:modified xsi:type="dcterms:W3CDTF">2026-08-19T15:10:51Z</dcterms:modified>
  <dc:language>en-US</dc:language>
</cp:coreProperties>
</file>