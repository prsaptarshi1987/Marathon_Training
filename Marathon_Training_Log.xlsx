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1-Coursework\24-Git_Projects\02-Marathon_Training_Personal\Marathon_Training\"/>
    </mc:Choice>
  </mc:AlternateContent>
  <xr:revisionPtr revIDLastSave="0" documentId="13_ncr:1_{1190F2A4-D578-4511-845D-27334B2C88D4}" xr6:coauthVersionLast="47" xr6:coauthVersionMax="47" xr10:uidLastSave="{00000000-0000-0000-0000-000000000000}"/>
  <bookViews>
    <workbookView xWindow="-120" yWindow="-120" windowWidth="51840" windowHeight="21120" tabRatio="500" activeTab="2" xr2:uid="{00000000-000D-0000-FFFF-FFFF00000000}"/>
  </bookViews>
  <sheets>
    <sheet name="Log" sheetId="1" r:id="rId1"/>
    <sheet name="Weekly Summary" sheetId="2" r:id="rId2"/>
    <sheet name="Session Guid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2" l="1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C14" i="2" l="1"/>
  <c r="E14" i="2"/>
  <c r="D14" i="2"/>
</calcChain>
</file>

<file path=xl/sharedStrings.xml><?xml version="1.0" encoding="utf-8"?>
<sst xmlns="http://schemas.openxmlformats.org/spreadsheetml/2006/main" count="281" uniqueCount="88">
  <si>
    <t>Marathon Training Log — Pre-Super Base</t>
  </si>
  <si>
    <t>Stablemaster's Method (John Starrett). Yellow cells are yours to fill in after each session.</t>
  </si>
  <si>
    <t>Yellow = your input after the run. Example: Actual Duration 66, Distance 4.7, Avg Pace 14:02, Avg HR 148, Max HR 161, RPE 5.</t>
  </si>
  <si>
    <t>Date</t>
  </si>
  <si>
    <t>Day</t>
  </si>
  <si>
    <t>Wk</t>
  </si>
  <si>
    <t>Session Type</t>
  </si>
  <si>
    <t>Planned Workout</t>
  </si>
  <si>
    <t>Peloton Class Used</t>
  </si>
  <si>
    <t>Status</t>
  </si>
  <si>
    <t>Planned Duration (min)</t>
  </si>
  <si>
    <t>Actual Duration (min)</t>
  </si>
  <si>
    <t>Distance (mi)</t>
  </si>
  <si>
    <t>Avg Pace (min/mi)</t>
  </si>
  <si>
    <t>Avg HR (bpm)</t>
  </si>
  <si>
    <t>Max HR (bpm)</t>
  </si>
  <si>
    <t>RPE / Felt (1-10)</t>
  </si>
  <si>
    <t>Notes</t>
  </si>
  <si>
    <t>Mon</t>
  </si>
  <si>
    <t>Easy</t>
  </si>
  <si>
    <t>Easy run 65 min — conversational effort, nose-breathing</t>
  </si>
  <si>
    <t>10 min Pre-Run Warm Up with Matt Wilpers + 30 min Tempo Run with Matt Wilpers</t>
  </si>
  <si>
    <t>Done</t>
  </si>
  <si>
    <t>Completed additiona 35 min run with Apple watch. Heart rate did not actually reflect RPE. Slightly hot weather and mix of hills.</t>
  </si>
  <si>
    <t>Tue</t>
  </si>
  <si>
    <t>Key – Strides</t>
  </si>
  <si>
    <t>KEY: WU + 3x(5x20s @ 5K effort, jog back) w/ 3 min jog between sets + CD</t>
  </si>
  <si>
    <t>Planned</t>
  </si>
  <si>
    <t>Wed</t>
  </si>
  <si>
    <t>Rest</t>
  </si>
  <si>
    <t>Rest / cross-train (easy bike/swim optional)</t>
  </si>
  <si>
    <t>Thu</t>
  </si>
  <si>
    <t>Easy run 45-50 min (or rest if legs heavy from Tue)</t>
  </si>
  <si>
    <t>Fri</t>
  </si>
  <si>
    <t>Key – Hills</t>
  </si>
  <si>
    <t>KEY: WU + drills + 4x 8-sec blasts (2:30 min walk recovery)</t>
  </si>
  <si>
    <t>Sat</t>
  </si>
  <si>
    <t>Long</t>
  </si>
  <si>
    <t>Long run 90 min easy — no tempo, conversational</t>
  </si>
  <si>
    <t>Sun</t>
  </si>
  <si>
    <t>KEY: WU + 3x(5x30s @ 5K effort, jog back) w/ 3 min jog between sets + CD</t>
  </si>
  <si>
    <t>Easy run 45-50 min (or rest if legs heavy from Wed)</t>
  </si>
  <si>
    <t>Key – Hills+Long</t>
  </si>
  <si>
    <t>KEY: WU + drills + 4x 8-sec blasts (2:30 min walk recovery) — film your form  |  + Long run 90 min easy</t>
  </si>
  <si>
    <t>KEY: WU + 3x(5x40s @ 5K effort, jog back) w/ 3 min jog between sets + CD</t>
  </si>
  <si>
    <t>KEY: WU + drills + 6x 8-sec blasts (2:30 min walk recovery)  |  + Long run 90 min easy</t>
  </si>
  <si>
    <t>KEY: WU + 3x(5x40s) + 3 min jog + 2 min @ 5K effort add-on + CD</t>
  </si>
  <si>
    <t>KEY: WU + 3x(5x40s) + 3 min jog + 3 min @ 5K effort add-on + CD</t>
  </si>
  <si>
    <t>KEY: WU + drills + 8x 8-sec blasts (2:30 min walk recovery)  |  + Long run 90 min easy</t>
  </si>
  <si>
    <t>KEY: WU + 3x(5x40s) + 3 min jog + 4 min @ 5K effort add-on + CD</t>
  </si>
  <si>
    <t>KEY: WU + 3x(5x40s) + 3 min jog + 5 min @ 5K effort add-on + CD (peak session)</t>
  </si>
  <si>
    <t>KEY: Repeat: WU + 3x(5x40s) + 3 min jog + 5 min add-on + CD (consolidate — form dialled in)</t>
  </si>
  <si>
    <t>Weekly Summary</t>
  </si>
  <si>
    <t>Auto-calculated from the Log sheet — nothing to fill in here.</t>
  </si>
  <si>
    <t>Sessions Logged</t>
  </si>
  <si>
    <t>Total Actual Minutes</t>
  </si>
  <si>
    <t>Total Distance (mi)</t>
  </si>
  <si>
    <t>Avg RPE</t>
  </si>
  <si>
    <t>Block total</t>
  </si>
  <si>
    <t>Session Guide — Pre-Super Base (Stablemaster's Method)</t>
  </si>
  <si>
    <t>Quick reference. Full detail lives in your Foundation &amp; Pre-Super Base workbook's Workout Library tab.</t>
  </si>
  <si>
    <t>Easy Run (Mon, 65 min)</t>
  </si>
  <si>
    <t>Conversational effort, full sentences, nose-breathing if possible. Peloton: any easy/'fun run' or Zone 2 tread class of matching length — ignore output/pace pushes, run by feel.</t>
  </si>
  <si>
    <t>Easy Run (Thu, 45-50 min)</t>
  </si>
  <si>
    <t>Same easy effort, shorter. Skip or shorten if legs are heavy from Tue strides or the upcoming Fri hill session.</t>
  </si>
  <si>
    <t>Aerobic Strides (Tue, KEY)</t>
  </si>
  <si>
    <t>Reps at ~5K effort to a landmark, jog back, big recovery between sets. Peloton: use a class for the warm-up/cool-down only, then pause it and self-control the treadmill for the rep timing — no canned class matches this exact protocol.</t>
  </si>
  <si>
    <t>Hill Blasts (Fri or Sat, KEY)</t>
  </si>
  <si>
    <t>8-sec near-max effort on a shallow incline (~5%), 2:30 WALK recovery between reps. Mantra: tall / relaxed / piston / pop. Week 1: Friday (own day). From week 2 on: same day as the long run (Saturday), done first, before the long run. Peloton: use a class for warm-up music/voice, then pause it and control incline/timing yourself — no canned class matches this protocol.</t>
  </si>
  <si>
    <t>Long Run (Saturday, 90 min)</t>
  </si>
  <si>
    <t>Anchored on Saturday every week per your preference. Stays at 90 min all block — easy, conversational, no tempo. From week 2 on it follows straight after hill blasts on the same day; week 1 only, it's a standalone Saturday session since hill blasts landed on Friday that week. Great one to run alongside a full-length Peloton easy/scenic tread class.</t>
  </si>
  <si>
    <t>Rest / Cross-train</t>
  </si>
  <si>
    <t>Full rest, walk, or easy low-impact cardio (bike/swim). Never turn it into a secret run.</t>
  </si>
  <si>
    <t>Effort guide</t>
  </si>
  <si>
    <t>There are no pace targets in this block by design — run everything by feel. Pace/HR should be LOGGED for your own trend-tracking, not used as a target.</t>
  </si>
  <si>
    <t>10 min Pre-Run Warm Up + 45 min Marathon Race Prep (Becs Gentry) followed by 5 min stretch.</t>
  </si>
  <si>
    <t>5x20 @5K effort &gt; 20 sec run + 1 min jog at 4 min/mile
Speeds: 6.5/6.7/6.2
Incline: 0.5/1/0
First 10 min warmup + last remaining cooldown walk.
Heart rate was jumping. But maintained conversational pace in between. Cooldown/recovery saw a heartrate drop of around 10-15 bpm from the Max.
Used treadmill.</t>
  </si>
  <si>
    <t>30 min Strength for Runners with Andy Speer</t>
  </si>
  <si>
    <t>Strength training for runners. Used 15 lb dumbell pair. Not overloading.</t>
  </si>
  <si>
    <t>30 min Pop Run with Selena Samuela + Apple Run for 15 min</t>
  </si>
  <si>
    <t>Easy run. Did some minor pushes inadvertently. Still felt good with nose breathing for most part. Last 15 min walked more due to incline.</t>
  </si>
  <si>
    <t>20 min Advanced Beginner Run with Olivia Amato + 20 min total Apple workout + cooldown + stretching</t>
  </si>
  <si>
    <t>Coupled easy run as warmup then performed the drills for Hill Blast.</t>
  </si>
  <si>
    <t>Tracked via Apple Watch + 10 min warmup class</t>
  </si>
  <si>
    <t>Easy run. Heart rate still climed up, but the occasional walks helped heart rate to come down. Forgot headphones that did cause some unease.</t>
  </si>
  <si>
    <t xml:space="preserve">Walk </t>
  </si>
  <si>
    <t>Long walk with the dog to move around. No exersion at all.</t>
  </si>
  <si>
    <t>Plan to finish the Strength class from week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</si>
</sst>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&quot; (&quot;ddd\)"/>
  </numFmts>
  <fonts count="7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i/>
      <sz val="10"/>
      <color rgb="FF43597A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C4"/>
        <bgColor rgb="FFFDE9D9"/>
      </patternFill>
    </fill>
    <fill>
      <patternFill patternType="solid">
        <fgColor rgb="FFFDE9D9"/>
        <bgColor rgb="FFF2F2F2"/>
      </patternFill>
    </fill>
    <fill>
      <patternFill patternType="solid">
        <fgColor rgb="FFF2F2F2"/>
        <bgColor rgb="FFFDE9D9"/>
      </patternFill>
    </fill>
  </fills>
  <borders count="2">
    <border>
      <left/>
      <right/>
      <top/>
      <bottom/>
      <diagonal/>
    </border>
    <border>
      <left style="thin">
        <color rgb="FFD3DBE6"/>
      </left>
      <right style="thin">
        <color rgb="FFD3DBE6"/>
      </right>
      <top style="thin">
        <color rgb="FFD3DBE6"/>
      </top>
      <bottom style="thin">
        <color rgb="FFD3DB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top" wrapText="1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/>
    <xf numFmtId="0" fontId="5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3DB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3597A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13" sqref="G13"/>
    </sheetView>
  </sheetViews>
  <sheetFormatPr defaultColWidth="8.7109375" defaultRowHeight="15" x14ac:dyDescent="0.25"/>
  <cols>
    <col min="2" max="2" width="43.140625" customWidth="1"/>
    <col min="3" max="3" width="4.85546875" customWidth="1"/>
    <col min="4" max="4" width="3.85546875" customWidth="1"/>
    <col min="5" max="5" width="15.28515625" customWidth="1"/>
    <col min="6" max="6" width="111" customWidth="1"/>
    <col min="7" max="7" width="71.5703125" customWidth="1"/>
    <col min="8" max="8" width="7.7109375" customWidth="1"/>
    <col min="12" max="12" width="9.5703125" customWidth="1"/>
    <col min="13" max="13" width="7.5703125" customWidth="1"/>
    <col min="14" max="14" width="8" customWidth="1"/>
    <col min="15" max="15" width="7.140625" customWidth="1"/>
    <col min="16" max="16" width="73.5703125" customWidth="1"/>
  </cols>
  <sheetData>
    <row r="2" spans="2:16" ht="19.5" customHeight="1" x14ac:dyDescent="0.3">
      <c r="B2" s="1" t="s">
        <v>0</v>
      </c>
    </row>
    <row r="3" spans="2:16" s="2" customFormat="1" ht="26.25" customHeight="1" x14ac:dyDescent="0.25">
      <c r="B3" s="3" t="s">
        <v>1</v>
      </c>
      <c r="F3" s="3" t="s">
        <v>2</v>
      </c>
    </row>
    <row r="5" spans="2:16" ht="45.75" customHeight="1" x14ac:dyDescent="0.25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</row>
    <row r="6" spans="2:16" ht="38.25" customHeight="1" x14ac:dyDescent="0.25">
      <c r="B6" s="5">
        <v>46230</v>
      </c>
      <c r="C6" s="6" t="s">
        <v>18</v>
      </c>
      <c r="D6" s="6">
        <v>1</v>
      </c>
      <c r="E6" s="6" t="s">
        <v>19</v>
      </c>
      <c r="F6" s="7" t="s">
        <v>20</v>
      </c>
      <c r="G6" s="8" t="s">
        <v>21</v>
      </c>
      <c r="H6" s="9" t="s">
        <v>22</v>
      </c>
      <c r="I6" s="6">
        <v>65</v>
      </c>
      <c r="J6" s="9">
        <v>65</v>
      </c>
      <c r="K6" s="9">
        <v>5.01</v>
      </c>
      <c r="L6" s="9">
        <v>12.97</v>
      </c>
      <c r="M6" s="9">
        <v>171</v>
      </c>
      <c r="N6" s="9">
        <v>178</v>
      </c>
      <c r="O6" s="9">
        <v>5</v>
      </c>
      <c r="P6" s="8" t="s">
        <v>23</v>
      </c>
    </row>
    <row r="7" spans="2:16" ht="93.75" customHeight="1" x14ac:dyDescent="0.25">
      <c r="B7" s="10">
        <v>46231</v>
      </c>
      <c r="C7" s="11" t="s">
        <v>24</v>
      </c>
      <c r="D7" s="11">
        <v>1</v>
      </c>
      <c r="E7" s="11" t="s">
        <v>25</v>
      </c>
      <c r="F7" s="12" t="s">
        <v>26</v>
      </c>
      <c r="G7" s="8" t="s">
        <v>75</v>
      </c>
      <c r="H7" s="9" t="s">
        <v>22</v>
      </c>
      <c r="I7" s="11">
        <v>50</v>
      </c>
      <c r="J7" s="9">
        <v>55</v>
      </c>
      <c r="K7" s="9">
        <v>2.8</v>
      </c>
      <c r="L7" s="9">
        <v>16.2</v>
      </c>
      <c r="M7" s="9">
        <v>144</v>
      </c>
      <c r="N7" s="9">
        <v>176</v>
      </c>
      <c r="O7" s="9">
        <v>6</v>
      </c>
      <c r="P7" s="8" t="s">
        <v>76</v>
      </c>
    </row>
    <row r="8" spans="2:16" ht="23.25" customHeight="1" x14ac:dyDescent="0.25">
      <c r="B8" s="13">
        <v>46232</v>
      </c>
      <c r="C8" s="14" t="s">
        <v>28</v>
      </c>
      <c r="D8" s="14">
        <v>1</v>
      </c>
      <c r="E8" s="14" t="s">
        <v>29</v>
      </c>
      <c r="F8" s="15" t="s">
        <v>30</v>
      </c>
      <c r="G8" s="8" t="s">
        <v>77</v>
      </c>
      <c r="H8" s="9" t="s">
        <v>22</v>
      </c>
      <c r="I8" s="14">
        <v>0</v>
      </c>
      <c r="J8" s="9">
        <v>30</v>
      </c>
      <c r="K8" s="9">
        <v>0</v>
      </c>
      <c r="L8" s="9">
        <v>0</v>
      </c>
      <c r="M8" s="9">
        <v>108</v>
      </c>
      <c r="N8" s="9">
        <v>146</v>
      </c>
      <c r="O8" s="9">
        <v>4</v>
      </c>
      <c r="P8" s="8" t="s">
        <v>78</v>
      </c>
    </row>
    <row r="9" spans="2:16" ht="23.25" customHeight="1" x14ac:dyDescent="0.25">
      <c r="B9" s="5">
        <v>46233</v>
      </c>
      <c r="C9" s="6" t="s">
        <v>31</v>
      </c>
      <c r="D9" s="6">
        <v>1</v>
      </c>
      <c r="E9" s="6" t="s">
        <v>19</v>
      </c>
      <c r="F9" s="7" t="s">
        <v>32</v>
      </c>
      <c r="G9" s="8" t="s">
        <v>79</v>
      </c>
      <c r="H9" s="9" t="s">
        <v>27</v>
      </c>
      <c r="I9" s="6">
        <v>50</v>
      </c>
      <c r="J9" s="9">
        <v>50</v>
      </c>
      <c r="K9" s="9">
        <v>3.43</v>
      </c>
      <c r="L9" s="9">
        <v>13.11</v>
      </c>
      <c r="M9" s="9">
        <v>140</v>
      </c>
      <c r="N9" s="9">
        <v>188</v>
      </c>
      <c r="O9" s="9">
        <v>5</v>
      </c>
      <c r="P9" s="8" t="s">
        <v>80</v>
      </c>
    </row>
    <row r="10" spans="2:16" ht="34.5" customHeight="1" x14ac:dyDescent="0.25">
      <c r="B10" s="10">
        <v>46234</v>
      </c>
      <c r="C10" s="11" t="s">
        <v>33</v>
      </c>
      <c r="D10" s="11">
        <v>1</v>
      </c>
      <c r="E10" s="11" t="s">
        <v>34</v>
      </c>
      <c r="F10" s="12" t="s">
        <v>35</v>
      </c>
      <c r="G10" s="8" t="s">
        <v>81</v>
      </c>
      <c r="H10" s="9" t="s">
        <v>27</v>
      </c>
      <c r="I10" s="11">
        <v>45</v>
      </c>
      <c r="J10" s="9">
        <v>45</v>
      </c>
      <c r="K10" s="9">
        <v>2.4700000000000002</v>
      </c>
      <c r="L10" s="9">
        <v>15.23</v>
      </c>
      <c r="M10" s="9">
        <v>134</v>
      </c>
      <c r="N10" s="9">
        <v>161</v>
      </c>
      <c r="O10" s="9">
        <v>4</v>
      </c>
      <c r="P10" s="8" t="s">
        <v>82</v>
      </c>
    </row>
    <row r="11" spans="2:16" ht="23.25" customHeight="1" x14ac:dyDescent="0.25">
      <c r="B11" s="10">
        <v>46235</v>
      </c>
      <c r="C11" s="11" t="s">
        <v>36</v>
      </c>
      <c r="D11" s="11">
        <v>1</v>
      </c>
      <c r="E11" s="11" t="s">
        <v>37</v>
      </c>
      <c r="F11" s="12" t="s">
        <v>38</v>
      </c>
      <c r="G11" s="8" t="s">
        <v>83</v>
      </c>
      <c r="H11" s="9" t="s">
        <v>27</v>
      </c>
      <c r="I11" s="11">
        <v>90</v>
      </c>
      <c r="J11" s="9">
        <v>90</v>
      </c>
      <c r="K11" s="9">
        <v>7.18</v>
      </c>
      <c r="L11" s="9">
        <v>12.3</v>
      </c>
      <c r="M11" s="9">
        <v>160</v>
      </c>
      <c r="N11" s="9">
        <v>178</v>
      </c>
      <c r="O11" s="9">
        <v>5</v>
      </c>
      <c r="P11" s="8" t="s">
        <v>84</v>
      </c>
    </row>
    <row r="12" spans="2:16" ht="15" customHeight="1" x14ac:dyDescent="0.25">
      <c r="B12" s="13">
        <v>46236</v>
      </c>
      <c r="C12" s="14" t="s">
        <v>39</v>
      </c>
      <c r="D12" s="14">
        <v>1</v>
      </c>
      <c r="E12" s="14" t="s">
        <v>29</v>
      </c>
      <c r="F12" s="15" t="s">
        <v>29</v>
      </c>
      <c r="G12" s="8" t="s">
        <v>85</v>
      </c>
      <c r="H12" s="9" t="s">
        <v>27</v>
      </c>
      <c r="I12" s="14">
        <v>0</v>
      </c>
      <c r="J12" s="9">
        <v>45</v>
      </c>
      <c r="K12" s="9">
        <v>1.76</v>
      </c>
      <c r="L12" s="9">
        <v>26.49</v>
      </c>
      <c r="M12" s="9">
        <v>97</v>
      </c>
      <c r="N12" s="9">
        <v>106</v>
      </c>
      <c r="O12" s="9">
        <v>2</v>
      </c>
      <c r="P12" s="8" t="s">
        <v>86</v>
      </c>
    </row>
    <row r="13" spans="2:16" ht="23.25" customHeight="1" x14ac:dyDescent="0.25">
      <c r="B13" s="13">
        <v>46237</v>
      </c>
      <c r="C13" s="14" t="s">
        <v>18</v>
      </c>
      <c r="D13" s="14">
        <v>2</v>
      </c>
      <c r="E13" s="14" t="s">
        <v>29</v>
      </c>
      <c r="F13" s="15" t="s">
        <v>30</v>
      </c>
      <c r="G13" s="8" t="s">
        <v>87</v>
      </c>
      <c r="H13" s="9" t="s">
        <v>27</v>
      </c>
      <c r="I13" s="14">
        <v>0</v>
      </c>
      <c r="J13" s="9"/>
      <c r="K13" s="9"/>
      <c r="L13" s="9"/>
      <c r="M13" s="9"/>
      <c r="N13" s="9"/>
      <c r="O13" s="9"/>
      <c r="P13" s="8"/>
    </row>
    <row r="14" spans="2:16" ht="23.25" customHeight="1" x14ac:dyDescent="0.25">
      <c r="B14" s="5">
        <v>46238</v>
      </c>
      <c r="C14" s="6" t="s">
        <v>24</v>
      </c>
      <c r="D14" s="6">
        <v>2</v>
      </c>
      <c r="E14" s="6" t="s">
        <v>19</v>
      </c>
      <c r="F14" s="7" t="s">
        <v>20</v>
      </c>
      <c r="G14" s="8"/>
      <c r="H14" s="9" t="s">
        <v>27</v>
      </c>
      <c r="I14" s="6">
        <v>65</v>
      </c>
      <c r="J14" s="9"/>
      <c r="K14" s="9"/>
      <c r="L14" s="9"/>
      <c r="M14" s="9"/>
      <c r="N14" s="9"/>
      <c r="O14" s="9"/>
      <c r="P14" s="8"/>
    </row>
    <row r="15" spans="2:16" ht="23.25" customHeight="1" x14ac:dyDescent="0.25">
      <c r="B15" s="10">
        <v>46239</v>
      </c>
      <c r="C15" s="11" t="s">
        <v>28</v>
      </c>
      <c r="D15" s="11">
        <v>2</v>
      </c>
      <c r="E15" s="11" t="s">
        <v>25</v>
      </c>
      <c r="F15" s="12" t="s">
        <v>40</v>
      </c>
      <c r="G15" s="8"/>
      <c r="H15" s="9" t="s">
        <v>27</v>
      </c>
      <c r="I15" s="11">
        <v>52</v>
      </c>
      <c r="J15" s="9"/>
      <c r="K15" s="9"/>
      <c r="L15" s="9"/>
      <c r="M15" s="9"/>
      <c r="N15" s="9"/>
      <c r="O15" s="9"/>
      <c r="P15" s="8"/>
    </row>
    <row r="16" spans="2:16" ht="23.25" customHeight="1" x14ac:dyDescent="0.25">
      <c r="B16" s="13">
        <v>46240</v>
      </c>
      <c r="C16" s="14" t="s">
        <v>31</v>
      </c>
      <c r="D16" s="14">
        <v>2</v>
      </c>
      <c r="E16" s="14" t="s">
        <v>29</v>
      </c>
      <c r="F16" s="15" t="s">
        <v>30</v>
      </c>
      <c r="G16" s="8"/>
      <c r="H16" s="9" t="s">
        <v>27</v>
      </c>
      <c r="I16" s="14">
        <v>0</v>
      </c>
      <c r="J16" s="9"/>
      <c r="K16" s="9"/>
      <c r="L16" s="9"/>
      <c r="M16" s="9"/>
      <c r="N16" s="9"/>
      <c r="O16" s="9"/>
      <c r="P16" s="8"/>
    </row>
    <row r="17" spans="2:16" ht="45.75" customHeight="1" x14ac:dyDescent="0.25">
      <c r="B17" s="5">
        <v>46241</v>
      </c>
      <c r="C17" s="6" t="s">
        <v>33</v>
      </c>
      <c r="D17" s="6">
        <v>2</v>
      </c>
      <c r="E17" s="6" t="s">
        <v>19</v>
      </c>
      <c r="F17" s="7" t="s">
        <v>41</v>
      </c>
      <c r="G17" s="8"/>
      <c r="H17" s="9" t="s">
        <v>27</v>
      </c>
      <c r="I17" s="6">
        <v>50</v>
      </c>
      <c r="J17" s="9"/>
      <c r="K17" s="9"/>
      <c r="L17" s="9"/>
      <c r="M17" s="9"/>
      <c r="N17" s="9"/>
      <c r="O17" s="9"/>
      <c r="P17" s="8"/>
    </row>
    <row r="18" spans="2:16" ht="23.25" customHeight="1" x14ac:dyDescent="0.25">
      <c r="B18" s="10">
        <v>46242</v>
      </c>
      <c r="C18" s="11" t="s">
        <v>36</v>
      </c>
      <c r="D18" s="11">
        <v>2</v>
      </c>
      <c r="E18" s="11" t="s">
        <v>42</v>
      </c>
      <c r="F18" s="12" t="s">
        <v>43</v>
      </c>
      <c r="G18" s="8"/>
      <c r="H18" s="9" t="s">
        <v>27</v>
      </c>
      <c r="I18" s="11">
        <v>135</v>
      </c>
      <c r="J18" s="9"/>
      <c r="K18" s="9"/>
      <c r="L18" s="9"/>
      <c r="M18" s="9"/>
      <c r="N18" s="9"/>
      <c r="O18" s="9"/>
      <c r="P18" s="8"/>
    </row>
    <row r="19" spans="2:16" ht="15" customHeight="1" x14ac:dyDescent="0.25">
      <c r="B19" s="13">
        <v>46243</v>
      </c>
      <c r="C19" s="14" t="s">
        <v>39</v>
      </c>
      <c r="D19" s="14">
        <v>2</v>
      </c>
      <c r="E19" s="14" t="s">
        <v>29</v>
      </c>
      <c r="F19" s="15" t="s">
        <v>29</v>
      </c>
      <c r="G19" s="8"/>
      <c r="H19" s="9" t="s">
        <v>27</v>
      </c>
      <c r="I19" s="14">
        <v>0</v>
      </c>
      <c r="J19" s="9"/>
      <c r="K19" s="9"/>
      <c r="L19" s="9"/>
      <c r="M19" s="9"/>
      <c r="N19" s="9"/>
      <c r="O19" s="9"/>
      <c r="P19" s="8"/>
    </row>
    <row r="20" spans="2:16" ht="23.25" customHeight="1" x14ac:dyDescent="0.25">
      <c r="B20" s="13">
        <v>46244</v>
      </c>
      <c r="C20" s="14" t="s">
        <v>18</v>
      </c>
      <c r="D20" s="14">
        <v>3</v>
      </c>
      <c r="E20" s="14" t="s">
        <v>29</v>
      </c>
      <c r="F20" s="15" t="s">
        <v>30</v>
      </c>
      <c r="G20" s="8"/>
      <c r="H20" s="9" t="s">
        <v>27</v>
      </c>
      <c r="I20" s="14">
        <v>0</v>
      </c>
      <c r="J20" s="9"/>
      <c r="K20" s="9"/>
      <c r="L20" s="9"/>
      <c r="M20" s="9"/>
      <c r="N20" s="9"/>
      <c r="O20" s="9"/>
      <c r="P20" s="8"/>
    </row>
    <row r="21" spans="2:16" ht="23.25" customHeight="1" x14ac:dyDescent="0.25">
      <c r="B21" s="5">
        <v>46245</v>
      </c>
      <c r="C21" s="6" t="s">
        <v>24</v>
      </c>
      <c r="D21" s="6">
        <v>3</v>
      </c>
      <c r="E21" s="6" t="s">
        <v>19</v>
      </c>
      <c r="F21" s="7" t="s">
        <v>20</v>
      </c>
      <c r="G21" s="8"/>
      <c r="H21" s="9" t="s">
        <v>27</v>
      </c>
      <c r="I21" s="6">
        <v>65</v>
      </c>
      <c r="J21" s="9"/>
      <c r="K21" s="9"/>
      <c r="L21" s="9"/>
      <c r="M21" s="9"/>
      <c r="N21" s="9"/>
      <c r="O21" s="9"/>
      <c r="P21" s="8"/>
    </row>
    <row r="22" spans="2:16" ht="23.25" customHeight="1" x14ac:dyDescent="0.25">
      <c r="B22" s="10">
        <v>46246</v>
      </c>
      <c r="C22" s="11" t="s">
        <v>28</v>
      </c>
      <c r="D22" s="11">
        <v>3</v>
      </c>
      <c r="E22" s="11" t="s">
        <v>25</v>
      </c>
      <c r="F22" s="12" t="s">
        <v>44</v>
      </c>
      <c r="G22" s="8"/>
      <c r="H22" s="9" t="s">
        <v>27</v>
      </c>
      <c r="I22" s="11">
        <v>55</v>
      </c>
      <c r="J22" s="9"/>
      <c r="K22" s="9"/>
      <c r="L22" s="9"/>
      <c r="M22" s="9"/>
      <c r="N22" s="9"/>
      <c r="O22" s="9"/>
      <c r="P22" s="8"/>
    </row>
    <row r="23" spans="2:16" ht="23.25" customHeight="1" x14ac:dyDescent="0.25">
      <c r="B23" s="13">
        <v>46247</v>
      </c>
      <c r="C23" s="14" t="s">
        <v>31</v>
      </c>
      <c r="D23" s="14">
        <v>3</v>
      </c>
      <c r="E23" s="14" t="s">
        <v>29</v>
      </c>
      <c r="F23" s="15" t="s">
        <v>30</v>
      </c>
      <c r="G23" s="8"/>
      <c r="H23" s="9" t="s">
        <v>27</v>
      </c>
      <c r="I23" s="14">
        <v>0</v>
      </c>
      <c r="J23" s="9"/>
      <c r="K23" s="9"/>
      <c r="L23" s="9"/>
      <c r="M23" s="9"/>
      <c r="N23" s="9"/>
      <c r="O23" s="9"/>
      <c r="P23" s="8"/>
    </row>
    <row r="24" spans="2:16" ht="34.5" customHeight="1" x14ac:dyDescent="0.25">
      <c r="B24" s="5">
        <v>46248</v>
      </c>
      <c r="C24" s="6" t="s">
        <v>33</v>
      </c>
      <c r="D24" s="6">
        <v>3</v>
      </c>
      <c r="E24" s="6" t="s">
        <v>19</v>
      </c>
      <c r="F24" s="7" t="s">
        <v>41</v>
      </c>
      <c r="G24" s="8"/>
      <c r="H24" s="9" t="s">
        <v>27</v>
      </c>
      <c r="I24" s="6">
        <v>50</v>
      </c>
      <c r="J24" s="9"/>
      <c r="K24" s="9"/>
      <c r="L24" s="9"/>
      <c r="M24" s="9"/>
      <c r="N24" s="9"/>
      <c r="O24" s="9"/>
      <c r="P24" s="8"/>
    </row>
    <row r="25" spans="2:16" ht="23.25" customHeight="1" x14ac:dyDescent="0.25">
      <c r="B25" s="10">
        <v>46249</v>
      </c>
      <c r="C25" s="11" t="s">
        <v>36</v>
      </c>
      <c r="D25" s="11">
        <v>3</v>
      </c>
      <c r="E25" s="11" t="s">
        <v>42</v>
      </c>
      <c r="F25" s="12" t="s">
        <v>45</v>
      </c>
      <c r="G25" s="8"/>
      <c r="H25" s="9" t="s">
        <v>27</v>
      </c>
      <c r="I25" s="11">
        <v>140</v>
      </c>
      <c r="J25" s="9"/>
      <c r="K25" s="9"/>
      <c r="L25" s="9"/>
      <c r="M25" s="9"/>
      <c r="N25" s="9"/>
      <c r="O25" s="9"/>
      <c r="P25" s="8"/>
    </row>
    <row r="26" spans="2:16" ht="15" customHeight="1" x14ac:dyDescent="0.25">
      <c r="B26" s="13">
        <v>46250</v>
      </c>
      <c r="C26" s="14" t="s">
        <v>39</v>
      </c>
      <c r="D26" s="14">
        <v>3</v>
      </c>
      <c r="E26" s="14" t="s">
        <v>29</v>
      </c>
      <c r="F26" s="15" t="s">
        <v>29</v>
      </c>
      <c r="G26" s="8"/>
      <c r="H26" s="9" t="s">
        <v>27</v>
      </c>
      <c r="I26" s="14">
        <v>0</v>
      </c>
      <c r="J26" s="9"/>
      <c r="K26" s="9"/>
      <c r="L26" s="9"/>
      <c r="M26" s="9"/>
      <c r="N26" s="9"/>
      <c r="O26" s="9"/>
      <c r="P26" s="8"/>
    </row>
    <row r="27" spans="2:16" ht="23.25" customHeight="1" x14ac:dyDescent="0.25">
      <c r="B27" s="13">
        <v>46251</v>
      </c>
      <c r="C27" s="14" t="s">
        <v>18</v>
      </c>
      <c r="D27" s="14">
        <v>4</v>
      </c>
      <c r="E27" s="14" t="s">
        <v>29</v>
      </c>
      <c r="F27" s="15" t="s">
        <v>30</v>
      </c>
      <c r="G27" s="8"/>
      <c r="H27" s="9" t="s">
        <v>27</v>
      </c>
      <c r="I27" s="14">
        <v>0</v>
      </c>
      <c r="J27" s="9"/>
      <c r="K27" s="9"/>
      <c r="L27" s="9"/>
      <c r="M27" s="9"/>
      <c r="N27" s="9"/>
      <c r="O27" s="9"/>
      <c r="P27" s="8"/>
    </row>
    <row r="28" spans="2:16" ht="23.25" customHeight="1" x14ac:dyDescent="0.25">
      <c r="B28" s="5">
        <v>46252</v>
      </c>
      <c r="C28" s="6" t="s">
        <v>24</v>
      </c>
      <c r="D28" s="6">
        <v>4</v>
      </c>
      <c r="E28" s="6" t="s">
        <v>19</v>
      </c>
      <c r="F28" s="7" t="s">
        <v>20</v>
      </c>
      <c r="G28" s="8"/>
      <c r="H28" s="9" t="s">
        <v>27</v>
      </c>
      <c r="I28" s="6">
        <v>65</v>
      </c>
      <c r="J28" s="9"/>
      <c r="K28" s="9"/>
      <c r="L28" s="9"/>
      <c r="M28" s="9"/>
      <c r="N28" s="9"/>
      <c r="O28" s="9"/>
      <c r="P28" s="8"/>
    </row>
    <row r="29" spans="2:16" ht="23.25" customHeight="1" x14ac:dyDescent="0.25">
      <c r="B29" s="10">
        <v>46253</v>
      </c>
      <c r="C29" s="11" t="s">
        <v>28</v>
      </c>
      <c r="D29" s="11">
        <v>4</v>
      </c>
      <c r="E29" s="11" t="s">
        <v>25</v>
      </c>
      <c r="F29" s="12" t="s">
        <v>46</v>
      </c>
      <c r="G29" s="8"/>
      <c r="H29" s="9" t="s">
        <v>27</v>
      </c>
      <c r="I29" s="11">
        <v>57</v>
      </c>
      <c r="J29" s="9"/>
      <c r="K29" s="9"/>
      <c r="L29" s="9"/>
      <c r="M29" s="9"/>
      <c r="N29" s="9"/>
      <c r="O29" s="9"/>
      <c r="P29" s="8"/>
    </row>
    <row r="30" spans="2:16" ht="23.25" customHeight="1" x14ac:dyDescent="0.25">
      <c r="B30" s="13">
        <v>46254</v>
      </c>
      <c r="C30" s="14" t="s">
        <v>31</v>
      </c>
      <c r="D30" s="14">
        <v>4</v>
      </c>
      <c r="E30" s="14" t="s">
        <v>29</v>
      </c>
      <c r="F30" s="15" t="s">
        <v>30</v>
      </c>
      <c r="G30" s="8"/>
      <c r="H30" s="9" t="s">
        <v>27</v>
      </c>
      <c r="I30" s="14">
        <v>0</v>
      </c>
      <c r="J30" s="9"/>
      <c r="K30" s="9"/>
      <c r="L30" s="9"/>
      <c r="M30" s="9"/>
      <c r="N30" s="9"/>
      <c r="O30" s="9"/>
      <c r="P30" s="8"/>
    </row>
    <row r="31" spans="2:16" ht="34.5" customHeight="1" x14ac:dyDescent="0.25">
      <c r="B31" s="5">
        <v>46255</v>
      </c>
      <c r="C31" s="6" t="s">
        <v>33</v>
      </c>
      <c r="D31" s="6">
        <v>4</v>
      </c>
      <c r="E31" s="6" t="s">
        <v>19</v>
      </c>
      <c r="F31" s="7" t="s">
        <v>41</v>
      </c>
      <c r="G31" s="8"/>
      <c r="H31" s="9" t="s">
        <v>27</v>
      </c>
      <c r="I31" s="6">
        <v>50</v>
      </c>
      <c r="J31" s="9"/>
      <c r="K31" s="9"/>
      <c r="L31" s="9"/>
      <c r="M31" s="9"/>
      <c r="N31" s="9"/>
      <c r="O31" s="9"/>
      <c r="P31" s="8"/>
    </row>
    <row r="32" spans="2:16" ht="23.25" customHeight="1" x14ac:dyDescent="0.25">
      <c r="B32" s="10">
        <v>46256</v>
      </c>
      <c r="C32" s="11" t="s">
        <v>36</v>
      </c>
      <c r="D32" s="11">
        <v>4</v>
      </c>
      <c r="E32" s="11" t="s">
        <v>42</v>
      </c>
      <c r="F32" s="12" t="s">
        <v>45</v>
      </c>
      <c r="G32" s="8"/>
      <c r="H32" s="9" t="s">
        <v>27</v>
      </c>
      <c r="I32" s="11">
        <v>140</v>
      </c>
      <c r="J32" s="9"/>
      <c r="K32" s="9"/>
      <c r="L32" s="9"/>
      <c r="M32" s="9"/>
      <c r="N32" s="9"/>
      <c r="O32" s="9"/>
      <c r="P32" s="8"/>
    </row>
    <row r="33" spans="2:16" ht="15" customHeight="1" x14ac:dyDescent="0.25">
      <c r="B33" s="13">
        <v>46257</v>
      </c>
      <c r="C33" s="14" t="s">
        <v>39</v>
      </c>
      <c r="D33" s="14">
        <v>4</v>
      </c>
      <c r="E33" s="14" t="s">
        <v>29</v>
      </c>
      <c r="F33" s="15" t="s">
        <v>29</v>
      </c>
      <c r="G33" s="8"/>
      <c r="H33" s="9" t="s">
        <v>27</v>
      </c>
      <c r="I33" s="14">
        <v>0</v>
      </c>
      <c r="J33" s="9"/>
      <c r="K33" s="9"/>
      <c r="L33" s="9"/>
      <c r="M33" s="9"/>
      <c r="N33" s="9"/>
      <c r="O33" s="9"/>
      <c r="P33" s="8"/>
    </row>
    <row r="34" spans="2:16" ht="23.25" customHeight="1" x14ac:dyDescent="0.25">
      <c r="B34" s="13">
        <v>46258</v>
      </c>
      <c r="C34" s="14" t="s">
        <v>18</v>
      </c>
      <c r="D34" s="14">
        <v>5</v>
      </c>
      <c r="E34" s="14" t="s">
        <v>29</v>
      </c>
      <c r="F34" s="15" t="s">
        <v>30</v>
      </c>
      <c r="G34" s="8"/>
      <c r="H34" s="9" t="s">
        <v>27</v>
      </c>
      <c r="I34" s="14">
        <v>0</v>
      </c>
      <c r="J34" s="9"/>
      <c r="K34" s="9"/>
      <c r="L34" s="9"/>
      <c r="M34" s="9"/>
      <c r="N34" s="9"/>
      <c r="O34" s="9"/>
      <c r="P34" s="8"/>
    </row>
    <row r="35" spans="2:16" ht="23.25" customHeight="1" x14ac:dyDescent="0.25">
      <c r="B35" s="5">
        <v>46259</v>
      </c>
      <c r="C35" s="6" t="s">
        <v>24</v>
      </c>
      <c r="D35" s="6">
        <v>5</v>
      </c>
      <c r="E35" s="6" t="s">
        <v>19</v>
      </c>
      <c r="F35" s="7" t="s">
        <v>20</v>
      </c>
      <c r="G35" s="8"/>
      <c r="H35" s="9" t="s">
        <v>27</v>
      </c>
      <c r="I35" s="6">
        <v>65</v>
      </c>
      <c r="J35" s="9"/>
      <c r="K35" s="9"/>
      <c r="L35" s="9"/>
      <c r="M35" s="9"/>
      <c r="N35" s="9"/>
      <c r="O35" s="9"/>
      <c r="P35" s="8"/>
    </row>
    <row r="36" spans="2:16" ht="23.25" customHeight="1" x14ac:dyDescent="0.25">
      <c r="B36" s="10">
        <v>46260</v>
      </c>
      <c r="C36" s="11" t="s">
        <v>28</v>
      </c>
      <c r="D36" s="11">
        <v>5</v>
      </c>
      <c r="E36" s="11" t="s">
        <v>25</v>
      </c>
      <c r="F36" s="12" t="s">
        <v>47</v>
      </c>
      <c r="G36" s="8"/>
      <c r="H36" s="9" t="s">
        <v>27</v>
      </c>
      <c r="I36" s="11">
        <v>58</v>
      </c>
      <c r="J36" s="9"/>
      <c r="K36" s="9"/>
      <c r="L36" s="9"/>
      <c r="M36" s="9"/>
      <c r="N36" s="9"/>
      <c r="O36" s="9"/>
      <c r="P36" s="8"/>
    </row>
    <row r="37" spans="2:16" ht="23.25" customHeight="1" x14ac:dyDescent="0.25">
      <c r="B37" s="13">
        <v>46261</v>
      </c>
      <c r="C37" s="14" t="s">
        <v>31</v>
      </c>
      <c r="D37" s="14">
        <v>5</v>
      </c>
      <c r="E37" s="14" t="s">
        <v>29</v>
      </c>
      <c r="F37" s="15" t="s">
        <v>30</v>
      </c>
      <c r="G37" s="8"/>
      <c r="H37" s="9" t="s">
        <v>27</v>
      </c>
      <c r="I37" s="14">
        <v>0</v>
      </c>
      <c r="J37" s="9"/>
      <c r="K37" s="9"/>
      <c r="L37" s="9"/>
      <c r="M37" s="9"/>
      <c r="N37" s="9"/>
      <c r="O37" s="9"/>
      <c r="P37" s="8"/>
    </row>
    <row r="38" spans="2:16" ht="34.5" customHeight="1" x14ac:dyDescent="0.25">
      <c r="B38" s="5">
        <v>46262</v>
      </c>
      <c r="C38" s="6" t="s">
        <v>33</v>
      </c>
      <c r="D38" s="6">
        <v>5</v>
      </c>
      <c r="E38" s="6" t="s">
        <v>19</v>
      </c>
      <c r="F38" s="7" t="s">
        <v>41</v>
      </c>
      <c r="G38" s="8"/>
      <c r="H38" s="9" t="s">
        <v>27</v>
      </c>
      <c r="I38" s="6">
        <v>50</v>
      </c>
      <c r="J38" s="9"/>
      <c r="K38" s="9"/>
      <c r="L38" s="9"/>
      <c r="M38" s="9"/>
      <c r="N38" s="9"/>
      <c r="O38" s="9"/>
      <c r="P38" s="8"/>
    </row>
    <row r="39" spans="2:16" ht="23.25" customHeight="1" x14ac:dyDescent="0.25">
      <c r="B39" s="10">
        <v>46263</v>
      </c>
      <c r="C39" s="11" t="s">
        <v>36</v>
      </c>
      <c r="D39" s="11">
        <v>5</v>
      </c>
      <c r="E39" s="11" t="s">
        <v>42</v>
      </c>
      <c r="F39" s="12" t="s">
        <v>48</v>
      </c>
      <c r="G39" s="8"/>
      <c r="H39" s="9" t="s">
        <v>27</v>
      </c>
      <c r="I39" s="11">
        <v>145</v>
      </c>
      <c r="J39" s="9"/>
      <c r="K39" s="9"/>
      <c r="L39" s="9"/>
      <c r="M39" s="9"/>
      <c r="N39" s="9"/>
      <c r="O39" s="9"/>
      <c r="P39" s="8"/>
    </row>
    <row r="40" spans="2:16" ht="15" customHeight="1" x14ac:dyDescent="0.25">
      <c r="B40" s="13">
        <v>46264</v>
      </c>
      <c r="C40" s="14" t="s">
        <v>39</v>
      </c>
      <c r="D40" s="14">
        <v>5</v>
      </c>
      <c r="E40" s="14" t="s">
        <v>29</v>
      </c>
      <c r="F40" s="15" t="s">
        <v>29</v>
      </c>
      <c r="G40" s="8"/>
      <c r="H40" s="9" t="s">
        <v>27</v>
      </c>
      <c r="I40" s="14">
        <v>0</v>
      </c>
      <c r="J40" s="9"/>
      <c r="K40" s="9"/>
      <c r="L40" s="9"/>
      <c r="M40" s="9"/>
      <c r="N40" s="9"/>
      <c r="O40" s="9"/>
      <c r="P40" s="8"/>
    </row>
    <row r="41" spans="2:16" ht="23.25" customHeight="1" x14ac:dyDescent="0.25">
      <c r="B41" s="13">
        <v>46265</v>
      </c>
      <c r="C41" s="14" t="s">
        <v>18</v>
      </c>
      <c r="D41" s="14">
        <v>6</v>
      </c>
      <c r="E41" s="14" t="s">
        <v>29</v>
      </c>
      <c r="F41" s="15" t="s">
        <v>30</v>
      </c>
      <c r="G41" s="8"/>
      <c r="H41" s="9" t="s">
        <v>27</v>
      </c>
      <c r="I41" s="14">
        <v>0</v>
      </c>
      <c r="J41" s="9"/>
      <c r="K41" s="9"/>
      <c r="L41" s="9"/>
      <c r="M41" s="9"/>
      <c r="N41" s="9"/>
      <c r="O41" s="9"/>
      <c r="P41" s="8"/>
    </row>
    <row r="42" spans="2:16" ht="23.25" customHeight="1" x14ac:dyDescent="0.25">
      <c r="B42" s="5">
        <v>46266</v>
      </c>
      <c r="C42" s="6" t="s">
        <v>24</v>
      </c>
      <c r="D42" s="6">
        <v>6</v>
      </c>
      <c r="E42" s="6" t="s">
        <v>19</v>
      </c>
      <c r="F42" s="7" t="s">
        <v>20</v>
      </c>
      <c r="G42" s="8"/>
      <c r="H42" s="9" t="s">
        <v>27</v>
      </c>
      <c r="I42" s="6">
        <v>65</v>
      </c>
      <c r="J42" s="9"/>
      <c r="K42" s="9"/>
      <c r="L42" s="9"/>
      <c r="M42" s="9"/>
      <c r="N42" s="9"/>
      <c r="O42" s="9"/>
      <c r="P42" s="8"/>
    </row>
    <row r="43" spans="2:16" ht="23.25" customHeight="1" x14ac:dyDescent="0.25">
      <c r="B43" s="10">
        <v>46267</v>
      </c>
      <c r="C43" s="11" t="s">
        <v>28</v>
      </c>
      <c r="D43" s="11">
        <v>6</v>
      </c>
      <c r="E43" s="11" t="s">
        <v>25</v>
      </c>
      <c r="F43" s="12" t="s">
        <v>49</v>
      </c>
      <c r="G43" s="8"/>
      <c r="H43" s="9" t="s">
        <v>27</v>
      </c>
      <c r="I43" s="11">
        <v>59</v>
      </c>
      <c r="J43" s="9"/>
      <c r="K43" s="9"/>
      <c r="L43" s="9"/>
      <c r="M43" s="9"/>
      <c r="N43" s="9"/>
      <c r="O43" s="9"/>
      <c r="P43" s="8"/>
    </row>
    <row r="44" spans="2:16" ht="23.25" customHeight="1" x14ac:dyDescent="0.25">
      <c r="B44" s="13">
        <v>46268</v>
      </c>
      <c r="C44" s="14" t="s">
        <v>31</v>
      </c>
      <c r="D44" s="14">
        <v>6</v>
      </c>
      <c r="E44" s="14" t="s">
        <v>29</v>
      </c>
      <c r="F44" s="15" t="s">
        <v>30</v>
      </c>
      <c r="G44" s="8"/>
      <c r="H44" s="9" t="s">
        <v>27</v>
      </c>
      <c r="I44" s="14">
        <v>0</v>
      </c>
      <c r="J44" s="9"/>
      <c r="K44" s="9"/>
      <c r="L44" s="9"/>
      <c r="M44" s="9"/>
      <c r="N44" s="9"/>
      <c r="O44" s="9"/>
      <c r="P44" s="8"/>
    </row>
    <row r="45" spans="2:16" ht="34.5" customHeight="1" x14ac:dyDescent="0.25">
      <c r="B45" s="5">
        <v>46269</v>
      </c>
      <c r="C45" s="6" t="s">
        <v>33</v>
      </c>
      <c r="D45" s="6">
        <v>6</v>
      </c>
      <c r="E45" s="6" t="s">
        <v>19</v>
      </c>
      <c r="F45" s="7" t="s">
        <v>41</v>
      </c>
      <c r="G45" s="8"/>
      <c r="H45" s="9" t="s">
        <v>27</v>
      </c>
      <c r="I45" s="6">
        <v>50</v>
      </c>
      <c r="J45" s="9"/>
      <c r="K45" s="9"/>
      <c r="L45" s="9"/>
      <c r="M45" s="9"/>
      <c r="N45" s="9"/>
      <c r="O45" s="9"/>
      <c r="P45" s="8"/>
    </row>
    <row r="46" spans="2:16" ht="23.25" customHeight="1" x14ac:dyDescent="0.25">
      <c r="B46" s="10">
        <v>46270</v>
      </c>
      <c r="C46" s="11" t="s">
        <v>36</v>
      </c>
      <c r="D46" s="11">
        <v>6</v>
      </c>
      <c r="E46" s="11" t="s">
        <v>42</v>
      </c>
      <c r="F46" s="12" t="s">
        <v>48</v>
      </c>
      <c r="G46" s="8"/>
      <c r="H46" s="9" t="s">
        <v>27</v>
      </c>
      <c r="I46" s="11">
        <v>145</v>
      </c>
      <c r="J46" s="9"/>
      <c r="K46" s="9"/>
      <c r="L46" s="9"/>
      <c r="M46" s="9"/>
      <c r="N46" s="9"/>
      <c r="O46" s="9"/>
      <c r="P46" s="8"/>
    </row>
    <row r="47" spans="2:16" ht="15" customHeight="1" x14ac:dyDescent="0.25">
      <c r="B47" s="13">
        <v>46271</v>
      </c>
      <c r="C47" s="14" t="s">
        <v>39</v>
      </c>
      <c r="D47" s="14">
        <v>6</v>
      </c>
      <c r="E47" s="14" t="s">
        <v>29</v>
      </c>
      <c r="F47" s="15" t="s">
        <v>29</v>
      </c>
      <c r="G47" s="8"/>
      <c r="H47" s="9" t="s">
        <v>27</v>
      </c>
      <c r="I47" s="14">
        <v>0</v>
      </c>
      <c r="J47" s="9"/>
      <c r="K47" s="9"/>
      <c r="L47" s="9"/>
      <c r="M47" s="9"/>
      <c r="N47" s="9"/>
      <c r="O47" s="9"/>
      <c r="P47" s="8"/>
    </row>
    <row r="48" spans="2:16" ht="23.25" customHeight="1" x14ac:dyDescent="0.25">
      <c r="B48" s="13">
        <v>46272</v>
      </c>
      <c r="C48" s="14" t="s">
        <v>18</v>
      </c>
      <c r="D48" s="14">
        <v>7</v>
      </c>
      <c r="E48" s="14" t="s">
        <v>29</v>
      </c>
      <c r="F48" s="15" t="s">
        <v>30</v>
      </c>
      <c r="G48" s="8"/>
      <c r="H48" s="9" t="s">
        <v>27</v>
      </c>
      <c r="I48" s="14">
        <v>0</v>
      </c>
      <c r="J48" s="9"/>
      <c r="K48" s="9"/>
      <c r="L48" s="9"/>
      <c r="M48" s="9"/>
      <c r="N48" s="9"/>
      <c r="O48" s="9"/>
      <c r="P48" s="8"/>
    </row>
    <row r="49" spans="2:16" ht="23.25" customHeight="1" x14ac:dyDescent="0.25">
      <c r="B49" s="5">
        <v>46273</v>
      </c>
      <c r="C49" s="6" t="s">
        <v>24</v>
      </c>
      <c r="D49" s="6">
        <v>7</v>
      </c>
      <c r="E49" s="6" t="s">
        <v>19</v>
      </c>
      <c r="F49" s="7" t="s">
        <v>20</v>
      </c>
      <c r="G49" s="8"/>
      <c r="H49" s="9" t="s">
        <v>27</v>
      </c>
      <c r="I49" s="6">
        <v>65</v>
      </c>
      <c r="J49" s="9"/>
      <c r="K49" s="9"/>
      <c r="L49" s="9"/>
      <c r="M49" s="9"/>
      <c r="N49" s="9"/>
      <c r="O49" s="9"/>
      <c r="P49" s="8"/>
    </row>
    <row r="50" spans="2:16" ht="23.25" customHeight="1" x14ac:dyDescent="0.25">
      <c r="B50" s="10">
        <v>46274</v>
      </c>
      <c r="C50" s="11" t="s">
        <v>28</v>
      </c>
      <c r="D50" s="11">
        <v>7</v>
      </c>
      <c r="E50" s="11" t="s">
        <v>25</v>
      </c>
      <c r="F50" s="12" t="s">
        <v>50</v>
      </c>
      <c r="G50" s="8"/>
      <c r="H50" s="9" t="s">
        <v>27</v>
      </c>
      <c r="I50" s="11">
        <v>60</v>
      </c>
      <c r="J50" s="9"/>
      <c r="K50" s="9"/>
      <c r="L50" s="9"/>
      <c r="M50" s="9"/>
      <c r="N50" s="9"/>
      <c r="O50" s="9"/>
      <c r="P50" s="8"/>
    </row>
    <row r="51" spans="2:16" ht="23.25" customHeight="1" x14ac:dyDescent="0.25">
      <c r="B51" s="13">
        <v>46275</v>
      </c>
      <c r="C51" s="14" t="s">
        <v>31</v>
      </c>
      <c r="D51" s="14">
        <v>7</v>
      </c>
      <c r="E51" s="14" t="s">
        <v>29</v>
      </c>
      <c r="F51" s="15" t="s">
        <v>30</v>
      </c>
      <c r="G51" s="8"/>
      <c r="H51" s="9" t="s">
        <v>27</v>
      </c>
      <c r="I51" s="14">
        <v>0</v>
      </c>
      <c r="J51" s="9"/>
      <c r="K51" s="9"/>
      <c r="L51" s="9"/>
      <c r="M51" s="9"/>
      <c r="N51" s="9"/>
      <c r="O51" s="9"/>
      <c r="P51" s="8"/>
    </row>
    <row r="52" spans="2:16" ht="34.5" customHeight="1" x14ac:dyDescent="0.25">
      <c r="B52" s="5">
        <v>46276</v>
      </c>
      <c r="C52" s="6" t="s">
        <v>33</v>
      </c>
      <c r="D52" s="6">
        <v>7</v>
      </c>
      <c r="E52" s="6" t="s">
        <v>19</v>
      </c>
      <c r="F52" s="7" t="s">
        <v>41</v>
      </c>
      <c r="G52" s="8"/>
      <c r="H52" s="9" t="s">
        <v>27</v>
      </c>
      <c r="I52" s="6">
        <v>50</v>
      </c>
      <c r="J52" s="9"/>
      <c r="K52" s="9"/>
      <c r="L52" s="9"/>
      <c r="M52" s="9"/>
      <c r="N52" s="9"/>
      <c r="O52" s="9"/>
      <c r="P52" s="8"/>
    </row>
    <row r="53" spans="2:16" ht="23.25" customHeight="1" x14ac:dyDescent="0.25">
      <c r="B53" s="10">
        <v>46277</v>
      </c>
      <c r="C53" s="11" t="s">
        <v>36</v>
      </c>
      <c r="D53" s="11">
        <v>7</v>
      </c>
      <c r="E53" s="11" t="s">
        <v>42</v>
      </c>
      <c r="F53" s="12" t="s">
        <v>48</v>
      </c>
      <c r="G53" s="8"/>
      <c r="H53" s="9" t="s">
        <v>27</v>
      </c>
      <c r="I53" s="11">
        <v>145</v>
      </c>
      <c r="J53" s="9"/>
      <c r="K53" s="9"/>
      <c r="L53" s="9"/>
      <c r="M53" s="9"/>
      <c r="N53" s="9"/>
      <c r="O53" s="9"/>
      <c r="P53" s="8"/>
    </row>
    <row r="54" spans="2:16" ht="15" customHeight="1" x14ac:dyDescent="0.25">
      <c r="B54" s="13">
        <v>46278</v>
      </c>
      <c r="C54" s="14" t="s">
        <v>39</v>
      </c>
      <c r="D54" s="14">
        <v>7</v>
      </c>
      <c r="E54" s="14" t="s">
        <v>29</v>
      </c>
      <c r="F54" s="15" t="s">
        <v>29</v>
      </c>
      <c r="G54" s="8"/>
      <c r="H54" s="9" t="s">
        <v>27</v>
      </c>
      <c r="I54" s="14">
        <v>0</v>
      </c>
      <c r="J54" s="9"/>
      <c r="K54" s="9"/>
      <c r="L54" s="9"/>
      <c r="M54" s="9"/>
      <c r="N54" s="9"/>
      <c r="O54" s="9"/>
      <c r="P54" s="8"/>
    </row>
    <row r="55" spans="2:16" ht="23.25" customHeight="1" x14ac:dyDescent="0.25">
      <c r="B55" s="13">
        <v>46279</v>
      </c>
      <c r="C55" s="14" t="s">
        <v>18</v>
      </c>
      <c r="D55" s="14">
        <v>8</v>
      </c>
      <c r="E55" s="14" t="s">
        <v>29</v>
      </c>
      <c r="F55" s="15" t="s">
        <v>30</v>
      </c>
      <c r="G55" s="8"/>
      <c r="H55" s="9" t="s">
        <v>27</v>
      </c>
      <c r="I55" s="14">
        <v>0</v>
      </c>
      <c r="J55" s="9"/>
      <c r="K55" s="9"/>
      <c r="L55" s="9"/>
      <c r="M55" s="9"/>
      <c r="N55" s="9"/>
      <c r="O55" s="9"/>
      <c r="P55" s="8"/>
    </row>
    <row r="56" spans="2:16" ht="34.5" customHeight="1" x14ac:dyDescent="0.25">
      <c r="B56" s="5">
        <v>46280</v>
      </c>
      <c r="C56" s="6" t="s">
        <v>24</v>
      </c>
      <c r="D56" s="6">
        <v>8</v>
      </c>
      <c r="E56" s="6" t="s">
        <v>19</v>
      </c>
      <c r="F56" s="7" t="s">
        <v>20</v>
      </c>
      <c r="G56" s="8"/>
      <c r="H56" s="9" t="s">
        <v>27</v>
      </c>
      <c r="I56" s="6">
        <v>65</v>
      </c>
      <c r="J56" s="9"/>
      <c r="K56" s="9"/>
      <c r="L56" s="9"/>
      <c r="M56" s="9"/>
      <c r="N56" s="9"/>
      <c r="O56" s="9"/>
      <c r="P56" s="8"/>
    </row>
    <row r="57" spans="2:16" ht="23.25" customHeight="1" x14ac:dyDescent="0.25">
      <c r="B57" s="10">
        <v>46281</v>
      </c>
      <c r="C57" s="11" t="s">
        <v>28</v>
      </c>
      <c r="D57" s="11">
        <v>8</v>
      </c>
      <c r="E57" s="11" t="s">
        <v>25</v>
      </c>
      <c r="F57" s="12" t="s">
        <v>51</v>
      </c>
      <c r="G57" s="8"/>
      <c r="H57" s="9" t="s">
        <v>27</v>
      </c>
      <c r="I57" s="11">
        <v>60</v>
      </c>
      <c r="J57" s="9"/>
      <c r="K57" s="9"/>
      <c r="L57" s="9"/>
      <c r="M57" s="9"/>
      <c r="N57" s="9"/>
      <c r="O57" s="9"/>
      <c r="P57" s="8"/>
    </row>
    <row r="58" spans="2:16" ht="23.25" customHeight="1" x14ac:dyDescent="0.25">
      <c r="B58" s="13">
        <v>46282</v>
      </c>
      <c r="C58" s="14" t="s">
        <v>31</v>
      </c>
      <c r="D58" s="14">
        <v>8</v>
      </c>
      <c r="E58" s="14" t="s">
        <v>29</v>
      </c>
      <c r="F58" s="15" t="s">
        <v>30</v>
      </c>
      <c r="G58" s="8"/>
      <c r="H58" s="9" t="s">
        <v>27</v>
      </c>
      <c r="I58" s="14">
        <v>0</v>
      </c>
      <c r="J58" s="9"/>
      <c r="K58" s="9"/>
      <c r="L58" s="9"/>
      <c r="M58" s="9"/>
      <c r="N58" s="9"/>
      <c r="O58" s="9"/>
      <c r="P58" s="8"/>
    </row>
    <row r="59" spans="2:16" ht="34.5" customHeight="1" x14ac:dyDescent="0.25">
      <c r="B59" s="5">
        <v>46283</v>
      </c>
      <c r="C59" s="6" t="s">
        <v>33</v>
      </c>
      <c r="D59" s="6">
        <v>8</v>
      </c>
      <c r="E59" s="6" t="s">
        <v>19</v>
      </c>
      <c r="F59" s="7" t="s">
        <v>41</v>
      </c>
      <c r="G59" s="8"/>
      <c r="H59" s="9" t="s">
        <v>27</v>
      </c>
      <c r="I59" s="6">
        <v>50</v>
      </c>
      <c r="J59" s="9"/>
      <c r="K59" s="9"/>
      <c r="L59" s="9"/>
      <c r="M59" s="9"/>
      <c r="N59" s="9"/>
      <c r="O59" s="9"/>
      <c r="P59" s="8"/>
    </row>
    <row r="60" spans="2:16" ht="23.25" customHeight="1" x14ac:dyDescent="0.25">
      <c r="B60" s="10">
        <v>46284</v>
      </c>
      <c r="C60" s="11" t="s">
        <v>36</v>
      </c>
      <c r="D60" s="11">
        <v>8</v>
      </c>
      <c r="E60" s="11" t="s">
        <v>42</v>
      </c>
      <c r="F60" s="12" t="s">
        <v>48</v>
      </c>
      <c r="G60" s="8"/>
      <c r="H60" s="9" t="s">
        <v>27</v>
      </c>
      <c r="I60" s="11">
        <v>145</v>
      </c>
      <c r="J60" s="9"/>
      <c r="K60" s="9"/>
      <c r="L60" s="9"/>
      <c r="M60" s="9"/>
      <c r="N60" s="9"/>
      <c r="O60" s="9"/>
      <c r="P60" s="8"/>
    </row>
    <row r="61" spans="2:16" ht="15" customHeight="1" x14ac:dyDescent="0.25">
      <c r="B61" s="13">
        <v>46285</v>
      </c>
      <c r="C61" s="14" t="s">
        <v>39</v>
      </c>
      <c r="D61" s="14">
        <v>8</v>
      </c>
      <c r="E61" s="14" t="s">
        <v>29</v>
      </c>
      <c r="F61" s="15" t="s">
        <v>29</v>
      </c>
      <c r="G61" s="8"/>
      <c r="H61" s="9" t="s">
        <v>27</v>
      </c>
      <c r="I61" s="14">
        <v>0</v>
      </c>
      <c r="J61" s="9"/>
      <c r="K61" s="9"/>
      <c r="L61" s="9"/>
      <c r="M61" s="9"/>
      <c r="N61" s="9"/>
      <c r="O61" s="9"/>
      <c r="P61" s="8"/>
    </row>
  </sheetData>
  <dataValidations count="1">
    <dataValidation type="list" allowBlank="1" sqref="H6:H61" xr:uid="{00000000-0002-0000-0000-000000000000}">
      <formula1>"Planned,Done,Modified,Skipped"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4"/>
  <sheetViews>
    <sheetView zoomScaleNormal="100" workbookViewId="0">
      <selection activeCell="E6" sqref="E6"/>
    </sheetView>
  </sheetViews>
  <sheetFormatPr defaultColWidth="8.7109375" defaultRowHeight="15" x14ac:dyDescent="0.25"/>
  <cols>
    <col min="2" max="2" width="8" customWidth="1"/>
    <col min="3" max="3" width="16" customWidth="1"/>
    <col min="4" max="5" width="20" customWidth="1"/>
    <col min="6" max="6" width="10" customWidth="1"/>
  </cols>
  <sheetData>
    <row r="2" spans="2:6" ht="19.5" customHeight="1" x14ac:dyDescent="0.3">
      <c r="B2" s="1" t="s">
        <v>52</v>
      </c>
    </row>
    <row r="3" spans="2:6" ht="15" customHeight="1" x14ac:dyDescent="0.25">
      <c r="B3" s="16" t="s">
        <v>53</v>
      </c>
    </row>
    <row r="5" spans="2:6" ht="15" customHeight="1" x14ac:dyDescent="0.25">
      <c r="B5" s="4" t="s">
        <v>5</v>
      </c>
      <c r="C5" s="4" t="s">
        <v>54</v>
      </c>
      <c r="D5" s="4" t="s">
        <v>55</v>
      </c>
      <c r="E5" s="4" t="s">
        <v>56</v>
      </c>
      <c r="F5" s="4" t="s">
        <v>57</v>
      </c>
    </row>
    <row r="6" spans="2:6" ht="15" customHeight="1" x14ac:dyDescent="0.25">
      <c r="B6" s="17">
        <v>1</v>
      </c>
      <c r="C6" s="17">
        <f>COUNTIFS(Log!$D$6:$D$61,B6,Log!$H$6:$H$61,"Done")</f>
        <v>3</v>
      </c>
      <c r="D6" s="17">
        <f>SUMIFS(Log!$J$6:$J$61,Log!$D$6:$D$61,B6)</f>
        <v>380</v>
      </c>
      <c r="E6" s="17">
        <f>SUMIFS(Log!$K$6:$K$61,Log!$D$6:$D$61,B6)</f>
        <v>22.650000000000002</v>
      </c>
      <c r="F6" s="17">
        <f>IFERROR(AVERAGEIFS(Log!$O$6:$O$61,Log!$D$6:$D$61,B6,Log!$H$6:$H$61,"Done"),"")</f>
        <v>5</v>
      </c>
    </row>
    <row r="7" spans="2:6" ht="15" customHeight="1" x14ac:dyDescent="0.25">
      <c r="B7" s="17">
        <v>2</v>
      </c>
      <c r="C7" s="17">
        <f>COUNTIFS(Log!$D$6:$D$61,B7,Log!$H$6:$H$61,"Done")</f>
        <v>0</v>
      </c>
      <c r="D7" s="17">
        <f>SUMIFS(Log!$J$6:$J$61,Log!$D$6:$D$61,B7)</f>
        <v>0</v>
      </c>
      <c r="E7" s="17">
        <f>SUMIFS(Log!$K$6:$K$61,Log!$D$6:$D$61,B7)</f>
        <v>0</v>
      </c>
      <c r="F7" s="17" t="str">
        <f>IFERROR(AVERAGEIFS(Log!$O$6:$O$61,Log!$D$6:$D$61,B7,Log!$H$6:$H$61,"Done"),"")</f>
        <v/>
      </c>
    </row>
    <row r="8" spans="2:6" ht="15" customHeight="1" x14ac:dyDescent="0.25">
      <c r="B8" s="17">
        <v>3</v>
      </c>
      <c r="C8" s="17">
        <f>COUNTIFS(Log!$D$6:$D$61,B8,Log!$H$6:$H$61,"Done")</f>
        <v>0</v>
      </c>
      <c r="D8" s="17">
        <f>SUMIFS(Log!$J$6:$J$61,Log!$D$6:$D$61,B8)</f>
        <v>0</v>
      </c>
      <c r="E8" s="17">
        <f>SUMIFS(Log!$K$6:$K$61,Log!$D$6:$D$61,B8)</f>
        <v>0</v>
      </c>
      <c r="F8" s="17" t="str">
        <f>IFERROR(AVERAGEIFS(Log!$O$6:$O$61,Log!$D$6:$D$61,B8,Log!$H$6:$H$61,"Done"),"")</f>
        <v/>
      </c>
    </row>
    <row r="9" spans="2:6" ht="15" customHeight="1" x14ac:dyDescent="0.25">
      <c r="B9" s="17">
        <v>4</v>
      </c>
      <c r="C9" s="17">
        <f>COUNTIFS(Log!$D$6:$D$61,B9,Log!$H$6:$H$61,"Done")</f>
        <v>0</v>
      </c>
      <c r="D9" s="17">
        <f>SUMIFS(Log!$J$6:$J$61,Log!$D$6:$D$61,B9)</f>
        <v>0</v>
      </c>
      <c r="E9" s="17">
        <f>SUMIFS(Log!$K$6:$K$61,Log!$D$6:$D$61,B9)</f>
        <v>0</v>
      </c>
      <c r="F9" s="17" t="str">
        <f>IFERROR(AVERAGEIFS(Log!$O$6:$O$61,Log!$D$6:$D$61,B9,Log!$H$6:$H$61,"Done"),"")</f>
        <v/>
      </c>
    </row>
    <row r="10" spans="2:6" ht="15" customHeight="1" x14ac:dyDescent="0.25">
      <c r="B10" s="17">
        <v>5</v>
      </c>
      <c r="C10" s="17">
        <f>COUNTIFS(Log!$D$6:$D$61,B10,Log!$H$6:$H$61,"Done")</f>
        <v>0</v>
      </c>
      <c r="D10" s="17">
        <f>SUMIFS(Log!$J$6:$J$61,Log!$D$6:$D$61,B10)</f>
        <v>0</v>
      </c>
      <c r="E10" s="17">
        <f>SUMIFS(Log!$K$6:$K$61,Log!$D$6:$D$61,B10)</f>
        <v>0</v>
      </c>
      <c r="F10" s="17" t="str">
        <f>IFERROR(AVERAGEIFS(Log!$O$6:$O$61,Log!$D$6:$D$61,B10,Log!$H$6:$H$61,"Done"),"")</f>
        <v/>
      </c>
    </row>
    <row r="11" spans="2:6" ht="15" customHeight="1" x14ac:dyDescent="0.25">
      <c r="B11" s="17">
        <v>6</v>
      </c>
      <c r="C11" s="17">
        <f>COUNTIFS(Log!$D$6:$D$61,B11,Log!$H$6:$H$61,"Done")</f>
        <v>0</v>
      </c>
      <c r="D11" s="17">
        <f>SUMIFS(Log!$J$6:$J$61,Log!$D$6:$D$61,B11)</f>
        <v>0</v>
      </c>
      <c r="E11" s="17">
        <f>SUMIFS(Log!$K$6:$K$61,Log!$D$6:$D$61,B11)</f>
        <v>0</v>
      </c>
      <c r="F11" s="17" t="str">
        <f>IFERROR(AVERAGEIFS(Log!$O$6:$O$61,Log!$D$6:$D$61,B11,Log!$H$6:$H$61,"Done"),"")</f>
        <v/>
      </c>
    </row>
    <row r="12" spans="2:6" ht="15" customHeight="1" x14ac:dyDescent="0.25">
      <c r="B12" s="17">
        <v>7</v>
      </c>
      <c r="C12" s="17">
        <f>COUNTIFS(Log!$D$6:$D$61,B12,Log!$H$6:$H$61,"Done")</f>
        <v>0</v>
      </c>
      <c r="D12" s="17">
        <f>SUMIFS(Log!$J$6:$J$61,Log!$D$6:$D$61,B12)</f>
        <v>0</v>
      </c>
      <c r="E12" s="17">
        <f>SUMIFS(Log!$K$6:$K$61,Log!$D$6:$D$61,B12)</f>
        <v>0</v>
      </c>
      <c r="F12" s="17" t="str">
        <f>IFERROR(AVERAGEIFS(Log!$O$6:$O$61,Log!$D$6:$D$61,B12,Log!$H$6:$H$61,"Done"),"")</f>
        <v/>
      </c>
    </row>
    <row r="13" spans="2:6" ht="15" customHeight="1" x14ac:dyDescent="0.25">
      <c r="B13" s="17">
        <v>8</v>
      </c>
      <c r="C13" s="17">
        <f>COUNTIFS(Log!$D$6:$D$61,B13,Log!$H$6:$H$61,"Done")</f>
        <v>0</v>
      </c>
      <c r="D13" s="17">
        <f>SUMIFS(Log!$J$6:$J$61,Log!$D$6:$D$61,B13)</f>
        <v>0</v>
      </c>
      <c r="E13" s="17">
        <f>SUMIFS(Log!$K$6:$K$61,Log!$D$6:$D$61,B13)</f>
        <v>0</v>
      </c>
      <c r="F13" s="17" t="str">
        <f>IFERROR(AVERAGEIFS(Log!$O$6:$O$61,Log!$D$6:$D$61,B13,Log!$H$6:$H$61,"Done"),"")</f>
        <v/>
      </c>
    </row>
    <row r="14" spans="2:6" ht="15" customHeight="1" x14ac:dyDescent="0.25">
      <c r="B14" s="18" t="s">
        <v>58</v>
      </c>
      <c r="C14" s="19">
        <f>SUM(C6:C13)</f>
        <v>3</v>
      </c>
      <c r="D14" s="19">
        <f>SUM(D6:D13)</f>
        <v>380</v>
      </c>
      <c r="E14" s="19">
        <f>SUM(E6:E13)</f>
        <v>22.650000000000002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7"/>
  <sheetViews>
    <sheetView tabSelected="1" zoomScaleNormal="100" workbookViewId="0">
      <selection activeCell="C11" sqref="C11"/>
    </sheetView>
  </sheetViews>
  <sheetFormatPr defaultColWidth="8.7109375" defaultRowHeight="15" x14ac:dyDescent="0.25"/>
  <cols>
    <col min="2" max="2" width="26" customWidth="1"/>
    <col min="3" max="3" width="95" customWidth="1"/>
  </cols>
  <sheetData>
    <row r="2" spans="2:3" ht="19.5" customHeight="1" x14ac:dyDescent="0.3">
      <c r="B2" s="1" t="s">
        <v>59</v>
      </c>
    </row>
    <row r="3" spans="2:3" ht="15" customHeight="1" x14ac:dyDescent="0.25">
      <c r="B3" s="16" t="s">
        <v>60</v>
      </c>
    </row>
    <row r="5" spans="2:3" ht="45.75" customHeight="1" x14ac:dyDescent="0.25">
      <c r="B5" s="20" t="s">
        <v>61</v>
      </c>
      <c r="C5" s="21" t="s">
        <v>62</v>
      </c>
    </row>
    <row r="7" spans="2:3" ht="45.75" customHeight="1" x14ac:dyDescent="0.25">
      <c r="B7" s="20" t="s">
        <v>63</v>
      </c>
      <c r="C7" s="21" t="s">
        <v>64</v>
      </c>
    </row>
    <row r="9" spans="2:3" ht="45.75" customHeight="1" x14ac:dyDescent="0.25">
      <c r="B9" s="20" t="s">
        <v>65</v>
      </c>
      <c r="C9" s="21" t="s">
        <v>66</v>
      </c>
    </row>
    <row r="11" spans="2:3" ht="70.5" customHeight="1" x14ac:dyDescent="0.25">
      <c r="B11" s="20" t="s">
        <v>67</v>
      </c>
      <c r="C11" s="21" t="s">
        <v>68</v>
      </c>
    </row>
    <row r="13" spans="2:3" ht="77.25" customHeight="1" x14ac:dyDescent="0.25">
      <c r="B13" s="20" t="s">
        <v>69</v>
      </c>
      <c r="C13" s="21" t="s">
        <v>70</v>
      </c>
    </row>
    <row r="15" spans="2:3" ht="45.75" customHeight="1" x14ac:dyDescent="0.25">
      <c r="B15" s="20" t="s">
        <v>71</v>
      </c>
      <c r="C15" s="21" t="s">
        <v>72</v>
      </c>
    </row>
    <row r="17" spans="2:3" ht="45.75" customHeight="1" x14ac:dyDescent="0.25">
      <c r="B17" s="20" t="s">
        <v>73</v>
      </c>
      <c r="C17" s="21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Weekly Summary</vt:lpstr>
      <vt:lpstr>Session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Purnendu Saptarshi</cp:lastModifiedBy>
  <cp:revision>0</cp:revision>
  <dcterms:created xsi:type="dcterms:W3CDTF">2026-07-27T14:12:52Z</dcterms:created>
  <dcterms:modified xsi:type="dcterms:W3CDTF">2026-08-03T01:10:56Z</dcterms:modified>
  <dc:language>en-US</dc:language>
</cp:coreProperties>
</file>