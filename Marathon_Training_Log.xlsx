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232A1A6D-5EE1-403A-B242-16392C075236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E14" i="2" s="1"/>
  <c r="D6" i="2"/>
  <c r="D14" i="2" s="1"/>
  <c r="C6" i="2"/>
  <c r="C1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5" authorId="0" shapeId="0" xr:uid="{00000000-0006-0000-0000-000001000000}">
      <text>
        <r>
          <rPr>
            <sz val="10"/>
            <rFont val="Arial"/>
            <family val="2"/>
          </rPr>
          <t>Optional. For sessions with a hard/easy split (strides, hill blasts): log the RPE felt during the work bouts here. Leave blank for continuous-effort sessions where the single RPE / Felt column already covers it.</t>
        </r>
      </text>
    </comment>
    <comment ref="R5" authorId="0" shapeId="0" xr:uid="{00000000-0006-0000-0000-000002000000}">
      <text>
        <r>
          <rPr>
            <sz val="10"/>
            <rFont val="Arial"/>
            <family val="2"/>
          </rPr>
          <t>Optional. Pairs with RPE - Work. Log how the recovery/jog portions felt here (e.g. HR dropping back below a threshold each time = low recovery RPE, a good sign).</t>
        </r>
      </text>
    </comment>
  </commentList>
</comments>
</file>

<file path=xl/sharedStrings.xml><?xml version="1.0" encoding="utf-8"?>
<sst xmlns="http://schemas.openxmlformats.org/spreadsheetml/2006/main" count="312" uniqueCount="119">
  <si>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</si>
  <si>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</si>
  <si>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</si>
  <si>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</si>
  <si>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</si>
  <si>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</si>
  <si>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</si>
  <si>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</si>
  <si>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</si>
  <si>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</si>
  <si>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</si>
  <si>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</si>
  <si>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</si>
  <si>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</si>
  <si>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</si>
  <si>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</si>
  <si>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</si>
  <si>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</si>
  <si>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RPE - Work (1-10)</t>
  </si>
  <si>
    <t>RPE - Recovery (1-10)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</si>
  <si>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</si>
  <si>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</si>
  <si>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</si>
  <si>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</si>
  <si>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</si>
  <si>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</si>
  <si>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</si>
  <si>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</si>
  <si>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</si>
  <si>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</si>
  <si>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</si>
  <si>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Wed</t>
  </si>
  <si>
    <t>Rest</t>
  </si>
  <si>
    <t>Rest / cross-train (easy bike/swim optional)</t>
  </si>
  <si>
    <t>30 min Strength for Runners with Andy Speer</t>
  </si>
  <si>
    <t>Strength training for runners. Used 15 lb dumbell pair. Not overloading.</t>
  </si>
  <si>
    <t>Thu</t>
  </si>
  <si>
    <t>Easy run 45-50 min (or rest if legs heavy from Tue)</t>
  </si>
  <si>
    <t>30 min Pop Run with Selena Samuela + Apple Run for 15 min</t>
  </si>
  <si>
    <t>Easy run. Did some minor pushes inadvertently. Still felt good with nose breathing for most part. Last 15 min walked more due to incline.</t>
  </si>
  <si>
    <t>Fri</t>
  </si>
  <si>
    <t>Key – Hills</t>
  </si>
  <si>
    <t>KEY: WU + drills + 4x 8-sec blasts (2:30 min walk recovery)</t>
  </si>
  <si>
    <t>20 min Advanced Beginner Run with Olivia Amato + 20 min total Apple workout + cooldown + stretching</t>
  </si>
  <si>
    <t>Coupled easy run as warmup then performed the drills for Hill Blast.</t>
  </si>
  <si>
    <t>Sat</t>
  </si>
  <si>
    <t>Long</t>
  </si>
  <si>
    <t>Long run 90 min easy — no tempo, conversational</t>
  </si>
  <si>
    <t>Tracked via Apple Watch + 10 min warmup class</t>
  </si>
  <si>
    <t>Easy run. Heart rate still climed up, but the occasional walks helped heart rate to come down. Forgot headphones that did cause some unease.</t>
  </si>
  <si>
    <t>Sun</t>
  </si>
  <si>
    <t xml:space="preserve">Walk </t>
  </si>
  <si>
    <t>Modified</t>
  </si>
  <si>
    <t>Long walk with the dog to move around. No exersion at all.</t>
  </si>
  <si>
    <t>30 min Strength for funners with Rebecca Kennedy</t>
  </si>
  <si>
    <t>Strength training</t>
  </si>
  <si>
    <t>45 min Tempo Run with Becs Gentry  + 20 min run</t>
  </si>
  <si>
    <t>Nose breathing run</t>
  </si>
  <si>
    <t>KEY: WU + 3x(5x30s @ 5K effort, jog back) w/ 3 min jog between sets + CD</t>
  </si>
  <si>
    <t>45 min Marathon Race Prep with Robin Arzon + 10 min Pre run warmup</t>
  </si>
  <si>
    <t>Night walk</t>
  </si>
  <si>
    <t>Just walk</t>
  </si>
  <si>
    <t>Easy run 45-50 min (or rest if legs heavy from Wed)</t>
  </si>
  <si>
    <t>30 min 2010s Run with Adrian Williams + 20 min run</t>
  </si>
  <si>
    <t>Key – Hills+Long</t>
  </si>
  <si>
    <t>KEY: WU + drills + 4x 8-sec blasts (2:30 min walk recovery) — film your form  |  + Long run 90 min easy</t>
  </si>
  <si>
    <t>Did striders on Saturday bur un on 10AUG2026 Monday</t>
  </si>
  <si>
    <t>Just did striders. Actual long run done on 10AUG2026 Monday.</t>
  </si>
  <si>
    <t>Rested</t>
  </si>
  <si>
    <t>Did long run this day.</t>
  </si>
  <si>
    <t>Saturdays long run done this day. Too much hilly route. Definitely had to slow down.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</si>
  <si>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</si>
  <si>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</si>
  <si>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KEY: WU + 3x(5x40s @ 5K effort, jog back) w/ 3 min jog between sets + CD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</si>
  <si>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</si>
  <si>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</si>
  <si>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</si>
  <si>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</si>
  <si>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KEY: WU + drills + 6x 8-sec blasts (2:30 min walk recovery)  |  + Long run 90 min easy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</si>
  <si>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</si>
  <si>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</si>
  <si>
    <t>Just took a walk</t>
  </si>
  <si>
    <t>Just walk with dog</t>
  </si>
  <si>
    <t>30 min Strength for Runners with Rebecca Kennedy</t>
  </si>
  <si>
    <t>20lb max weight training with focus on squats.</t>
  </si>
  <si>
    <t>10 min warmup + 45 min class + 30 min class with last 10 min in cooldown</t>
  </si>
  <si>
    <t>Very slow running. Did hit some hills so heart rate spiked during that time. But mostly the heart rate was below 148 bpm.</t>
  </si>
  <si>
    <t>KEY: WU + 3x(5x40s) + 3 min jog + 2 min @ 5K effort add-on + CD</t>
  </si>
  <si>
    <t>15 min warmup + 45 min Tempo Run with Becs Gentry + 10 min coolodown</t>
  </si>
  <si>
    <t>15 min very slow run at 3 miles/hr
Followed by the set.
1st set: Ran at 6 miles/hr with 0.5% incline. Not terrible, but found needing more and more time to recover heartrate back to around 130s. So dropped. RPE 6.5
2nd set: Ran at 5.8 miles/hr with 0.5% incline. Felt better. RPE 6.5
3rd set: Ran at 5.8 miles/hr with 0% incline. Stress felt similar to RPE 6.5
After each run, jogged at 3 miles/hr for 2min 20 sec.
Between each set jogged at 3 miles/hr for almost 4 min.</t>
  </si>
  <si>
    <t>Planned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</si>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</sst>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8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7" fillId="0" borderId="1" xfId="0" applyFont="1" applyBorder="1"/>
    <xf numFmtId="0" fontId="6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61"/>
  <sheetViews>
    <sheetView tabSelected="1" zoomScaleNormal="100" workbookViewId="0">
      <pane xSplit="2" ySplit="5" topLeftCell="C12" activePane="bottomRight" state="frozen"/>
      <selection pane="topRight" activeCell="C1" sqref="C1"/>
      <selection pane="bottomLeft" activeCell="A12" sqref="A12"/>
      <selection pane="bottomRight" activeCell="R12" sqref="R12:R28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  <col min="17" max="17" width="20" customWidth="1"/>
    <col min="18" max="18" width="22" customWidth="1"/>
  </cols>
  <sheetData>
    <row r="2" spans="2:18" ht="19.5" customHeight="1" x14ac:dyDescent="0.3">
      <c r="B2" s="1" t="s">
        <v>0</v>
      </c>
    </row>
    <row r="3" spans="2:18" s="2" customFormat="1" ht="26.25" customHeight="1" x14ac:dyDescent="0.25">
      <c r="B3" s="3" t="s">
        <v>1</v>
      </c>
      <c r="F3" s="3" t="s">
        <v>2</v>
      </c>
    </row>
    <row r="5" spans="2:18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  <c r="Q5" s="4" t="s">
        <v>18</v>
      </c>
      <c r="R5" s="4" t="s">
        <v>19</v>
      </c>
    </row>
    <row r="6" spans="2:18" ht="38.25" customHeight="1" x14ac:dyDescent="0.25">
      <c r="B6" s="5">
        <v>46230</v>
      </c>
      <c r="C6" s="6" t="s">
        <v>20</v>
      </c>
      <c r="D6" s="6">
        <v>1</v>
      </c>
      <c r="E6" s="6" t="s">
        <v>21</v>
      </c>
      <c r="F6" s="7" t="s">
        <v>22</v>
      </c>
      <c r="G6" s="8" t="s">
        <v>23</v>
      </c>
      <c r="H6" s="9" t="s">
        <v>24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25</v>
      </c>
    </row>
    <row r="7" spans="2:18" ht="93.75" customHeight="1" x14ac:dyDescent="0.25">
      <c r="B7" s="10">
        <v>46231</v>
      </c>
      <c r="C7" s="11" t="s">
        <v>26</v>
      </c>
      <c r="D7" s="11">
        <v>1</v>
      </c>
      <c r="E7" s="11" t="s">
        <v>27</v>
      </c>
      <c r="F7" s="12" t="s">
        <v>28</v>
      </c>
      <c r="G7" s="8" t="s">
        <v>29</v>
      </c>
      <c r="H7" s="9" t="s">
        <v>24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30</v>
      </c>
    </row>
    <row r="8" spans="2:18" ht="23.25" customHeight="1" x14ac:dyDescent="0.25">
      <c r="B8" s="13">
        <v>46232</v>
      </c>
      <c r="C8" s="14" t="s">
        <v>31</v>
      </c>
      <c r="D8" s="14">
        <v>1</v>
      </c>
      <c r="E8" s="14" t="s">
        <v>32</v>
      </c>
      <c r="F8" s="15" t="s">
        <v>33</v>
      </c>
      <c r="G8" s="8" t="s">
        <v>34</v>
      </c>
      <c r="H8" s="9" t="s">
        <v>24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35</v>
      </c>
    </row>
    <row r="9" spans="2:18" ht="23.25" customHeight="1" x14ac:dyDescent="0.25">
      <c r="B9" s="5">
        <v>46233</v>
      </c>
      <c r="C9" s="6" t="s">
        <v>36</v>
      </c>
      <c r="D9" s="6">
        <v>1</v>
      </c>
      <c r="E9" s="6" t="s">
        <v>21</v>
      </c>
      <c r="F9" s="7" t="s">
        <v>37</v>
      </c>
      <c r="G9" s="8" t="s">
        <v>38</v>
      </c>
      <c r="H9" s="9" t="s">
        <v>24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39</v>
      </c>
    </row>
    <row r="10" spans="2:18" ht="34.5" customHeight="1" x14ac:dyDescent="0.25">
      <c r="B10" s="10">
        <v>46234</v>
      </c>
      <c r="C10" s="11" t="s">
        <v>40</v>
      </c>
      <c r="D10" s="11">
        <v>1</v>
      </c>
      <c r="E10" s="11" t="s">
        <v>41</v>
      </c>
      <c r="F10" s="12" t="s">
        <v>42</v>
      </c>
      <c r="G10" s="8" t="s">
        <v>43</v>
      </c>
      <c r="H10" s="9" t="s">
        <v>24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44</v>
      </c>
    </row>
    <row r="11" spans="2:18" ht="23.25" customHeight="1" x14ac:dyDescent="0.25">
      <c r="B11" s="10">
        <v>46235</v>
      </c>
      <c r="C11" s="11" t="s">
        <v>45</v>
      </c>
      <c r="D11" s="11">
        <v>1</v>
      </c>
      <c r="E11" s="11" t="s">
        <v>46</v>
      </c>
      <c r="F11" s="12" t="s">
        <v>47</v>
      </c>
      <c r="G11" s="8" t="s">
        <v>48</v>
      </c>
      <c r="H11" s="9" t="s">
        <v>24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49</v>
      </c>
    </row>
    <row r="12" spans="2:18" ht="15" customHeight="1" x14ac:dyDescent="0.25">
      <c r="B12" s="13">
        <v>46236</v>
      </c>
      <c r="C12" s="14" t="s">
        <v>50</v>
      </c>
      <c r="D12" s="14">
        <v>1</v>
      </c>
      <c r="E12" s="14" t="s">
        <v>32</v>
      </c>
      <c r="F12" s="15" t="s">
        <v>32</v>
      </c>
      <c r="G12" s="8" t="s">
        <v>51</v>
      </c>
      <c r="H12" s="9" t="s">
        <v>52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53</v>
      </c>
      <c r="Q12">
        <v>2</v>
      </c>
      <c r="R12">
        <v>2</v>
      </c>
    </row>
    <row r="13" spans="2:18" ht="23.25" customHeight="1" x14ac:dyDescent="0.25">
      <c r="B13" s="13">
        <v>46237</v>
      </c>
      <c r="C13" s="14" t="s">
        <v>20</v>
      </c>
      <c r="D13" s="14">
        <v>2</v>
      </c>
      <c r="E13" s="14" t="s">
        <v>32</v>
      </c>
      <c r="F13" s="15" t="s">
        <v>33</v>
      </c>
      <c r="G13" s="8" t="s">
        <v>54</v>
      </c>
      <c r="H13" s="9" t="s">
        <v>52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55</v>
      </c>
      <c r="Q13">
        <v>3</v>
      </c>
      <c r="R13">
        <v>3</v>
      </c>
    </row>
    <row r="14" spans="2:18" ht="23.25" customHeight="1" x14ac:dyDescent="0.25">
      <c r="B14" s="5">
        <v>46238</v>
      </c>
      <c r="C14" s="6" t="s">
        <v>26</v>
      </c>
      <c r="D14" s="6">
        <v>2</v>
      </c>
      <c r="E14" s="6" t="s">
        <v>21</v>
      </c>
      <c r="F14" s="7" t="s">
        <v>22</v>
      </c>
      <c r="G14" s="8" t="s">
        <v>56</v>
      </c>
      <c r="H14" s="9" t="s">
        <v>24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57</v>
      </c>
      <c r="Q14">
        <v>5</v>
      </c>
      <c r="R14">
        <v>5</v>
      </c>
    </row>
    <row r="15" spans="2:18" ht="23.25" customHeight="1" x14ac:dyDescent="0.25">
      <c r="B15" s="10">
        <v>46239</v>
      </c>
      <c r="C15" s="11" t="s">
        <v>31</v>
      </c>
      <c r="D15" s="11">
        <v>2</v>
      </c>
      <c r="E15" s="11" t="s">
        <v>27</v>
      </c>
      <c r="F15" s="12" t="s">
        <v>58</v>
      </c>
      <c r="G15" s="8" t="s">
        <v>59</v>
      </c>
      <c r="H15" s="9" t="s">
        <v>24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57</v>
      </c>
      <c r="Q15">
        <v>5</v>
      </c>
      <c r="R15">
        <v>5</v>
      </c>
    </row>
    <row r="16" spans="2:18" ht="23.25" customHeight="1" x14ac:dyDescent="0.25">
      <c r="B16" s="13">
        <v>46240</v>
      </c>
      <c r="C16" s="14" t="s">
        <v>36</v>
      </c>
      <c r="D16" s="14">
        <v>2</v>
      </c>
      <c r="E16" s="14" t="s">
        <v>32</v>
      </c>
      <c r="F16" s="15" t="s">
        <v>33</v>
      </c>
      <c r="G16" s="8" t="s">
        <v>60</v>
      </c>
      <c r="H16" s="9" t="s">
        <v>52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61</v>
      </c>
      <c r="Q16">
        <v>2</v>
      </c>
      <c r="R16">
        <v>2</v>
      </c>
    </row>
    <row r="17" spans="2:18" ht="45.75" customHeight="1" x14ac:dyDescent="0.25">
      <c r="B17" s="5">
        <v>46241</v>
      </c>
      <c r="C17" s="6" t="s">
        <v>40</v>
      </c>
      <c r="D17" s="6">
        <v>2</v>
      </c>
      <c r="E17" s="6" t="s">
        <v>21</v>
      </c>
      <c r="F17" s="7" t="s">
        <v>62</v>
      </c>
      <c r="G17" s="8" t="s">
        <v>63</v>
      </c>
      <c r="H17" s="9" t="s">
        <v>24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  <c r="Q17">
        <v>5</v>
      </c>
      <c r="R17">
        <v>5</v>
      </c>
    </row>
    <row r="18" spans="2:18" ht="23.25" customHeight="1" x14ac:dyDescent="0.25">
      <c r="B18" s="10">
        <v>46242</v>
      </c>
      <c r="C18" s="11" t="s">
        <v>45</v>
      </c>
      <c r="D18" s="11">
        <v>2</v>
      </c>
      <c r="E18" s="11" t="s">
        <v>64</v>
      </c>
      <c r="F18" s="12" t="s">
        <v>65</v>
      </c>
      <c r="G18" s="8" t="s">
        <v>66</v>
      </c>
      <c r="H18" s="9" t="s">
        <v>52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67</v>
      </c>
      <c r="Q18">
        <v>5</v>
      </c>
      <c r="R18">
        <v>5</v>
      </c>
    </row>
    <row r="19" spans="2:18" ht="15" customHeight="1" x14ac:dyDescent="0.25">
      <c r="B19" s="13">
        <v>46243</v>
      </c>
      <c r="C19" s="14" t="s">
        <v>50</v>
      </c>
      <c r="D19" s="14">
        <v>2</v>
      </c>
      <c r="E19" s="14" t="s">
        <v>32</v>
      </c>
      <c r="F19" s="15" t="s">
        <v>32</v>
      </c>
      <c r="G19" s="8" t="s">
        <v>68</v>
      </c>
      <c r="H19" s="9" t="s">
        <v>24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  <c r="Q19">
        <v>0</v>
      </c>
      <c r="R19">
        <v>0</v>
      </c>
    </row>
    <row r="20" spans="2:18" ht="23.25" customHeight="1" x14ac:dyDescent="0.25">
      <c r="B20" s="13">
        <v>46244</v>
      </c>
      <c r="C20" s="14" t="s">
        <v>20</v>
      </c>
      <c r="D20" s="14">
        <v>3</v>
      </c>
      <c r="E20" s="14" t="s">
        <v>32</v>
      </c>
      <c r="F20" s="15" t="s">
        <v>33</v>
      </c>
      <c r="G20" s="8" t="s">
        <v>69</v>
      </c>
      <c r="H20" s="9" t="s">
        <v>24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70</v>
      </c>
      <c r="Q20">
        <v>5</v>
      </c>
      <c r="R20">
        <v>5</v>
      </c>
    </row>
    <row r="21" spans="2:18" ht="23.25" customHeight="1" x14ac:dyDescent="0.25">
      <c r="B21" s="5">
        <v>46245</v>
      </c>
      <c r="C21" s="6" t="s">
        <v>26</v>
      </c>
      <c r="D21" s="6">
        <v>3</v>
      </c>
      <c r="E21" s="6" t="s">
        <v>21</v>
      </c>
      <c r="F21" s="7" t="s">
        <v>22</v>
      </c>
      <c r="G21" s="8" t="s">
        <v>71</v>
      </c>
      <c r="H21" s="9" t="s">
        <v>24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72</v>
      </c>
      <c r="Q21">
        <v>5</v>
      </c>
      <c r="R21">
        <v>5</v>
      </c>
    </row>
    <row r="22" spans="2:18" ht="23.25" customHeight="1" x14ac:dyDescent="0.25">
      <c r="B22" s="10">
        <v>46246</v>
      </c>
      <c r="C22" s="11" t="s">
        <v>31</v>
      </c>
      <c r="D22" s="11">
        <v>3</v>
      </c>
      <c r="E22" s="11" t="s">
        <v>27</v>
      </c>
      <c r="F22" s="12" t="s">
        <v>73</v>
      </c>
      <c r="G22" s="8" t="s">
        <v>74</v>
      </c>
      <c r="H22" s="9" t="s">
        <v>24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75</v>
      </c>
      <c r="Q22">
        <v>7</v>
      </c>
      <c r="R22">
        <v>7</v>
      </c>
    </row>
    <row r="23" spans="2:18" ht="23.25" customHeight="1" x14ac:dyDescent="0.25">
      <c r="B23" s="13">
        <v>46247</v>
      </c>
      <c r="C23" s="14" t="s">
        <v>36</v>
      </c>
      <c r="D23" s="14">
        <v>3</v>
      </c>
      <c r="E23" s="14" t="s">
        <v>32</v>
      </c>
      <c r="F23" s="15" t="s">
        <v>33</v>
      </c>
      <c r="G23" s="8"/>
      <c r="H23" s="9" t="s">
        <v>24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76</v>
      </c>
      <c r="Q23">
        <v>0</v>
      </c>
      <c r="R23">
        <v>0</v>
      </c>
    </row>
    <row r="24" spans="2:18" ht="34.5" customHeight="1" x14ac:dyDescent="0.25">
      <c r="B24" s="5">
        <v>46248</v>
      </c>
      <c r="C24" s="6" t="s">
        <v>40</v>
      </c>
      <c r="D24" s="6">
        <v>3</v>
      </c>
      <c r="E24" s="6" t="s">
        <v>21</v>
      </c>
      <c r="F24" s="7" t="s">
        <v>62</v>
      </c>
      <c r="G24" s="8"/>
      <c r="H24" s="9" t="s">
        <v>24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77</v>
      </c>
      <c r="Q24">
        <v>0</v>
      </c>
      <c r="R24">
        <v>0</v>
      </c>
    </row>
    <row r="25" spans="2:18" ht="23.25" customHeight="1" x14ac:dyDescent="0.25">
      <c r="B25" s="10">
        <v>46249</v>
      </c>
      <c r="C25" s="11" t="s">
        <v>45</v>
      </c>
      <c r="D25" s="11">
        <v>3</v>
      </c>
      <c r="E25" s="11" t="s">
        <v>64</v>
      </c>
      <c r="F25" s="12" t="s">
        <v>78</v>
      </c>
      <c r="G25" s="8" t="s">
        <v>79</v>
      </c>
      <c r="H25" s="9" t="s">
        <v>24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80</v>
      </c>
      <c r="Q25">
        <v>3</v>
      </c>
      <c r="R25">
        <v>3</v>
      </c>
    </row>
    <row r="26" spans="2:18" ht="15" customHeight="1" x14ac:dyDescent="0.25">
      <c r="B26" s="13">
        <v>46250</v>
      </c>
      <c r="C26" s="14" t="s">
        <v>50</v>
      </c>
      <c r="D26" s="14">
        <v>3</v>
      </c>
      <c r="E26" s="14" t="s">
        <v>32</v>
      </c>
      <c r="F26" s="15" t="s">
        <v>32</v>
      </c>
      <c r="G26" s="8" t="s">
        <v>81</v>
      </c>
      <c r="H26" s="9" t="s">
        <v>24</v>
      </c>
      <c r="I26" s="14">
        <v>0</v>
      </c>
      <c r="J26" s="9">
        <v>36</v>
      </c>
      <c r="K26" s="9">
        <v>1.41</v>
      </c>
      <c r="L26" s="9">
        <v>2</v>
      </c>
      <c r="M26" s="9">
        <v>100</v>
      </c>
      <c r="N26" s="9">
        <v>114</v>
      </c>
      <c r="O26" s="9">
        <v>1</v>
      </c>
      <c r="P26" s="8" t="s">
        <v>82</v>
      </c>
      <c r="Q26">
        <v>1</v>
      </c>
      <c r="R26">
        <v>1</v>
      </c>
    </row>
    <row r="27" spans="2:18" ht="23.25" customHeight="1" x14ac:dyDescent="0.25">
      <c r="B27" s="13">
        <v>46251</v>
      </c>
      <c r="C27" s="14" t="s">
        <v>20</v>
      </c>
      <c r="D27" s="14">
        <v>4</v>
      </c>
      <c r="E27" s="14" t="s">
        <v>32</v>
      </c>
      <c r="F27" s="15" t="s">
        <v>33</v>
      </c>
      <c r="G27" s="8" t="s">
        <v>83</v>
      </c>
      <c r="H27" s="9" t="s">
        <v>24</v>
      </c>
      <c r="I27" s="14">
        <v>0</v>
      </c>
      <c r="J27" s="9">
        <v>32</v>
      </c>
      <c r="K27" s="9">
        <v>0</v>
      </c>
      <c r="L27" s="9">
        <v>0</v>
      </c>
      <c r="M27" s="9">
        <v>122</v>
      </c>
      <c r="N27" s="9">
        <v>150</v>
      </c>
      <c r="O27" s="9">
        <v>3</v>
      </c>
      <c r="P27" s="8" t="s">
        <v>84</v>
      </c>
      <c r="Q27">
        <v>3</v>
      </c>
      <c r="R27">
        <v>3</v>
      </c>
    </row>
    <row r="28" spans="2:18" ht="23.25" customHeight="1" x14ac:dyDescent="0.25">
      <c r="B28" s="5">
        <v>46252</v>
      </c>
      <c r="C28" s="6" t="s">
        <v>26</v>
      </c>
      <c r="D28" s="6">
        <v>4</v>
      </c>
      <c r="E28" s="6" t="s">
        <v>21</v>
      </c>
      <c r="F28" s="7" t="s">
        <v>22</v>
      </c>
      <c r="G28" s="8" t="s">
        <v>85</v>
      </c>
      <c r="H28" s="9" t="s">
        <v>24</v>
      </c>
      <c r="I28" s="6">
        <v>65</v>
      </c>
      <c r="J28" s="9">
        <v>70</v>
      </c>
      <c r="K28" s="9">
        <v>5</v>
      </c>
      <c r="L28" s="9">
        <v>14.3</v>
      </c>
      <c r="M28" s="9">
        <v>132</v>
      </c>
      <c r="N28" s="9">
        <v>158</v>
      </c>
      <c r="O28" s="9">
        <v>3.5</v>
      </c>
      <c r="P28" s="8" t="s">
        <v>86</v>
      </c>
      <c r="Q28">
        <v>3.5</v>
      </c>
      <c r="R28">
        <v>3.5</v>
      </c>
    </row>
    <row r="29" spans="2:18" ht="98.25" customHeight="1" x14ac:dyDescent="0.25">
      <c r="B29" s="10">
        <v>46253</v>
      </c>
      <c r="C29" s="11" t="s">
        <v>31</v>
      </c>
      <c r="D29" s="11">
        <v>4</v>
      </c>
      <c r="E29" s="11" t="s">
        <v>27</v>
      </c>
      <c r="F29" s="12" t="s">
        <v>87</v>
      </c>
      <c r="G29" s="8" t="s">
        <v>88</v>
      </c>
      <c r="H29" s="9" t="s">
        <v>24</v>
      </c>
      <c r="I29" s="11">
        <v>57</v>
      </c>
      <c r="J29" s="9">
        <v>70</v>
      </c>
      <c r="K29" s="9">
        <v>4</v>
      </c>
      <c r="L29" s="9">
        <v>18.29</v>
      </c>
      <c r="M29" s="9">
        <v>144</v>
      </c>
      <c r="N29" s="9">
        <v>172</v>
      </c>
      <c r="O29" s="9">
        <v>6.5</v>
      </c>
      <c r="P29" s="8" t="s">
        <v>89</v>
      </c>
      <c r="Q29">
        <v>6.5</v>
      </c>
      <c r="R29">
        <v>3</v>
      </c>
    </row>
    <row r="30" spans="2:18" ht="23.25" customHeight="1" x14ac:dyDescent="0.25">
      <c r="B30" s="13">
        <v>46254</v>
      </c>
      <c r="C30" s="14" t="s">
        <v>36</v>
      </c>
      <c r="D30" s="14">
        <v>4</v>
      </c>
      <c r="E30" s="14" t="s">
        <v>32</v>
      </c>
      <c r="F30" s="15" t="s">
        <v>33</v>
      </c>
      <c r="G30" s="8"/>
      <c r="H30" s="9" t="s">
        <v>90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8" ht="34.5" customHeight="1" x14ac:dyDescent="0.25">
      <c r="B31" s="5">
        <v>46255</v>
      </c>
      <c r="C31" s="6" t="s">
        <v>40</v>
      </c>
      <c r="D31" s="6">
        <v>4</v>
      </c>
      <c r="E31" s="6" t="s">
        <v>21</v>
      </c>
      <c r="F31" s="7" t="s">
        <v>62</v>
      </c>
      <c r="G31" s="8"/>
      <c r="H31" s="9" t="s">
        <v>90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8" ht="23.25" customHeight="1" x14ac:dyDescent="0.25">
      <c r="B32" s="10">
        <v>46256</v>
      </c>
      <c r="C32" s="11" t="s">
        <v>45</v>
      </c>
      <c r="D32" s="11">
        <v>4</v>
      </c>
      <c r="E32" s="11" t="s">
        <v>64</v>
      </c>
      <c r="F32" s="12" t="s">
        <v>78</v>
      </c>
      <c r="G32" s="8"/>
      <c r="H32" s="9" t="s">
        <v>90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50</v>
      </c>
      <c r="D33" s="14">
        <v>4</v>
      </c>
      <c r="E33" s="14" t="s">
        <v>32</v>
      </c>
      <c r="F33" s="15" t="s">
        <v>32</v>
      </c>
      <c r="G33" s="8"/>
      <c r="H33" s="9" t="s">
        <v>90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20</v>
      </c>
      <c r="D34" s="14">
        <v>5</v>
      </c>
      <c r="E34" s="14" t="s">
        <v>32</v>
      </c>
      <c r="F34" s="15" t="s">
        <v>33</v>
      </c>
      <c r="G34" s="8"/>
      <c r="H34" s="9" t="s">
        <v>90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26</v>
      </c>
      <c r="D35" s="6">
        <v>5</v>
      </c>
      <c r="E35" s="6" t="s">
        <v>21</v>
      </c>
      <c r="F35" s="7" t="s">
        <v>22</v>
      </c>
      <c r="G35" s="8"/>
      <c r="H35" s="9" t="s">
        <v>90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31</v>
      </c>
      <c r="D36" s="11">
        <v>5</v>
      </c>
      <c r="E36" s="11" t="s">
        <v>27</v>
      </c>
      <c r="F36" s="12" t="s">
        <v>91</v>
      </c>
      <c r="G36" s="8"/>
      <c r="H36" s="9" t="s">
        <v>90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36</v>
      </c>
      <c r="D37" s="14">
        <v>5</v>
      </c>
      <c r="E37" s="14" t="s">
        <v>32</v>
      </c>
      <c r="F37" s="15" t="s">
        <v>33</v>
      </c>
      <c r="G37" s="8"/>
      <c r="H37" s="9" t="s">
        <v>90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40</v>
      </c>
      <c r="D38" s="6">
        <v>5</v>
      </c>
      <c r="E38" s="6" t="s">
        <v>21</v>
      </c>
      <c r="F38" s="7" t="s">
        <v>62</v>
      </c>
      <c r="G38" s="8"/>
      <c r="H38" s="9" t="s">
        <v>90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45</v>
      </c>
      <c r="D39" s="11">
        <v>5</v>
      </c>
      <c r="E39" s="11" t="s">
        <v>64</v>
      </c>
      <c r="F39" s="12" t="s">
        <v>92</v>
      </c>
      <c r="G39" s="8"/>
      <c r="H39" s="9" t="s">
        <v>90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50</v>
      </c>
      <c r="D40" s="14">
        <v>5</v>
      </c>
      <c r="E40" s="14" t="s">
        <v>32</v>
      </c>
      <c r="F40" s="15" t="s">
        <v>32</v>
      </c>
      <c r="G40" s="8"/>
      <c r="H40" s="9" t="s">
        <v>90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20</v>
      </c>
      <c r="D41" s="14">
        <v>6</v>
      </c>
      <c r="E41" s="14" t="s">
        <v>32</v>
      </c>
      <c r="F41" s="15" t="s">
        <v>33</v>
      </c>
      <c r="G41" s="8"/>
      <c r="H41" s="9" t="s">
        <v>90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26</v>
      </c>
      <c r="D42" s="6">
        <v>6</v>
      </c>
      <c r="E42" s="6" t="s">
        <v>21</v>
      </c>
      <c r="F42" s="7" t="s">
        <v>22</v>
      </c>
      <c r="G42" s="8"/>
      <c r="H42" s="9" t="s">
        <v>90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31</v>
      </c>
      <c r="D43" s="11">
        <v>6</v>
      </c>
      <c r="E43" s="11" t="s">
        <v>27</v>
      </c>
      <c r="F43" s="12" t="s">
        <v>93</v>
      </c>
      <c r="G43" s="8"/>
      <c r="H43" s="9" t="s">
        <v>90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36</v>
      </c>
      <c r="D44" s="14">
        <v>6</v>
      </c>
      <c r="E44" s="14" t="s">
        <v>32</v>
      </c>
      <c r="F44" s="15" t="s">
        <v>33</v>
      </c>
      <c r="G44" s="8"/>
      <c r="H44" s="9" t="s">
        <v>90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40</v>
      </c>
      <c r="D45" s="6">
        <v>6</v>
      </c>
      <c r="E45" s="6" t="s">
        <v>21</v>
      </c>
      <c r="F45" s="7" t="s">
        <v>62</v>
      </c>
      <c r="G45" s="8"/>
      <c r="H45" s="9" t="s">
        <v>90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45</v>
      </c>
      <c r="D46" s="11">
        <v>6</v>
      </c>
      <c r="E46" s="11" t="s">
        <v>64</v>
      </c>
      <c r="F46" s="12" t="s">
        <v>92</v>
      </c>
      <c r="G46" s="8"/>
      <c r="H46" s="9" t="s">
        <v>90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50</v>
      </c>
      <c r="D47" s="14">
        <v>6</v>
      </c>
      <c r="E47" s="14" t="s">
        <v>32</v>
      </c>
      <c r="F47" s="15" t="s">
        <v>32</v>
      </c>
      <c r="G47" s="8"/>
      <c r="H47" s="9" t="s">
        <v>90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20</v>
      </c>
      <c r="D48" s="14">
        <v>7</v>
      </c>
      <c r="E48" s="14" t="s">
        <v>32</v>
      </c>
      <c r="F48" s="15" t="s">
        <v>33</v>
      </c>
      <c r="G48" s="8"/>
      <c r="H48" s="9" t="s">
        <v>90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26</v>
      </c>
      <c r="D49" s="6">
        <v>7</v>
      </c>
      <c r="E49" s="6" t="s">
        <v>21</v>
      </c>
      <c r="F49" s="7" t="s">
        <v>22</v>
      </c>
      <c r="G49" s="8"/>
      <c r="H49" s="9" t="s">
        <v>90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31</v>
      </c>
      <c r="D50" s="11">
        <v>7</v>
      </c>
      <c r="E50" s="11" t="s">
        <v>27</v>
      </c>
      <c r="F50" s="12" t="s">
        <v>94</v>
      </c>
      <c r="G50" s="8"/>
      <c r="H50" s="9" t="s">
        <v>90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36</v>
      </c>
      <c r="D51" s="14">
        <v>7</v>
      </c>
      <c r="E51" s="14" t="s">
        <v>32</v>
      </c>
      <c r="F51" s="15" t="s">
        <v>33</v>
      </c>
      <c r="G51" s="8"/>
      <c r="H51" s="9" t="s">
        <v>90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40</v>
      </c>
      <c r="D52" s="6">
        <v>7</v>
      </c>
      <c r="E52" s="6" t="s">
        <v>21</v>
      </c>
      <c r="F52" s="7" t="s">
        <v>62</v>
      </c>
      <c r="G52" s="8"/>
      <c r="H52" s="9" t="s">
        <v>90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45</v>
      </c>
      <c r="D53" s="11">
        <v>7</v>
      </c>
      <c r="E53" s="11" t="s">
        <v>64</v>
      </c>
      <c r="F53" s="12" t="s">
        <v>92</v>
      </c>
      <c r="G53" s="8"/>
      <c r="H53" s="9" t="s">
        <v>90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50</v>
      </c>
      <c r="D54" s="14">
        <v>7</v>
      </c>
      <c r="E54" s="14" t="s">
        <v>32</v>
      </c>
      <c r="F54" s="15" t="s">
        <v>32</v>
      </c>
      <c r="G54" s="8"/>
      <c r="H54" s="9" t="s">
        <v>90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20</v>
      </c>
      <c r="D55" s="14">
        <v>8</v>
      </c>
      <c r="E55" s="14" t="s">
        <v>32</v>
      </c>
      <c r="F55" s="15" t="s">
        <v>33</v>
      </c>
      <c r="G55" s="8"/>
      <c r="H55" s="9" t="s">
        <v>90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26</v>
      </c>
      <c r="D56" s="6">
        <v>8</v>
      </c>
      <c r="E56" s="6" t="s">
        <v>21</v>
      </c>
      <c r="F56" s="7" t="s">
        <v>22</v>
      </c>
      <c r="G56" s="8"/>
      <c r="H56" s="9" t="s">
        <v>90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31</v>
      </c>
      <c r="D57" s="11">
        <v>8</v>
      </c>
      <c r="E57" s="11" t="s">
        <v>27</v>
      </c>
      <c r="F57" s="12" t="s">
        <v>95</v>
      </c>
      <c r="G57" s="8"/>
      <c r="H57" s="9" t="s">
        <v>90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36</v>
      </c>
      <c r="D58" s="14">
        <v>8</v>
      </c>
      <c r="E58" s="14" t="s">
        <v>32</v>
      </c>
      <c r="F58" s="15" t="s">
        <v>33</v>
      </c>
      <c r="G58" s="8"/>
      <c r="H58" s="9" t="s">
        <v>90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40</v>
      </c>
      <c r="D59" s="6">
        <v>8</v>
      </c>
      <c r="E59" s="6" t="s">
        <v>21</v>
      </c>
      <c r="F59" s="7" t="s">
        <v>62</v>
      </c>
      <c r="G59" s="8"/>
      <c r="H59" s="9" t="s">
        <v>90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45</v>
      </c>
      <c r="D60" s="11">
        <v>8</v>
      </c>
      <c r="E60" s="11" t="s">
        <v>64</v>
      </c>
      <c r="F60" s="12" t="s">
        <v>92</v>
      </c>
      <c r="G60" s="8"/>
      <c r="H60" s="9" t="s">
        <v>90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50</v>
      </c>
      <c r="D61" s="14">
        <v>8</v>
      </c>
      <c r="E61" s="14" t="s">
        <v>32</v>
      </c>
      <c r="F61" s="15" t="s">
        <v>32</v>
      </c>
      <c r="G61" s="8"/>
      <c r="H61" s="9" t="s">
        <v>90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96</v>
      </c>
    </row>
    <row r="3" spans="2:6" ht="15" customHeight="1" x14ac:dyDescent="0.25">
      <c r="B3" s="16" t="s">
        <v>97</v>
      </c>
    </row>
    <row r="5" spans="2:6" ht="15" customHeight="1" x14ac:dyDescent="0.25">
      <c r="B5" s="4" t="s">
        <v>5</v>
      </c>
      <c r="C5" s="4" t="s">
        <v>98</v>
      </c>
      <c r="D5" s="4" t="s">
        <v>99</v>
      </c>
      <c r="E5" s="4" t="s">
        <v>100</v>
      </c>
      <c r="F5" s="4" t="s">
        <v>101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7</v>
      </c>
      <c r="D8" s="17">
        <f>SUMIFS(Log!$J$6:$J$61,Log!$D$6:$D$61,B8)</f>
        <v>431</v>
      </c>
      <c r="E8" s="17">
        <f>SUMIFS(Log!$K$6:$K$61,Log!$D$6:$D$61,B8)</f>
        <v>22.82</v>
      </c>
      <c r="F8" s="17">
        <f>IFERROR(AVERAGEIFS(Log!$O$6:$O$61,Log!$D$6:$D$61,B8,Log!$H$6:$H$61,"Done"),"")</f>
        <v>3</v>
      </c>
    </row>
    <row r="9" spans="2:6" ht="15" customHeight="1" x14ac:dyDescent="0.25">
      <c r="B9" s="17">
        <v>4</v>
      </c>
      <c r="C9" s="17">
        <f>COUNTIFS(Log!$D$6:$D$61,B9,Log!$H$6:$H$61,"Done")</f>
        <v>3</v>
      </c>
      <c r="D9" s="17">
        <f>SUMIFS(Log!$J$6:$J$61,Log!$D$6:$D$61,B9)</f>
        <v>172</v>
      </c>
      <c r="E9" s="17">
        <f>SUMIFS(Log!$K$6:$K$61,Log!$D$6:$D$61,B9)</f>
        <v>9</v>
      </c>
      <c r="F9" s="17">
        <f>IFERROR(AVERAGEIFS(Log!$O$6:$O$61,Log!$D$6:$D$61,B9,Log!$H$6:$H$61,"Done"),"")</f>
        <v>4.333333333333333</v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102</v>
      </c>
      <c r="C14" s="19">
        <f>SUM(C6:C13)</f>
        <v>20</v>
      </c>
      <c r="D14" s="19">
        <f>SUM(D6:D13)</f>
        <v>1225</v>
      </c>
      <c r="E14" s="19">
        <f>SUM(E6:E13)</f>
        <v>68.17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103</v>
      </c>
    </row>
    <row r="3" spans="2:3" ht="15" customHeight="1" x14ac:dyDescent="0.25">
      <c r="B3" s="16" t="s">
        <v>104</v>
      </c>
    </row>
    <row r="5" spans="2:3" ht="45.75" customHeight="1" x14ac:dyDescent="0.25">
      <c r="B5" s="20" t="s">
        <v>105</v>
      </c>
      <c r="C5" s="21" t="s">
        <v>106</v>
      </c>
    </row>
    <row r="7" spans="2:3" ht="45.75" customHeight="1" x14ac:dyDescent="0.25">
      <c r="B7" s="20" t="s">
        <v>107</v>
      </c>
      <c r="C7" s="21" t="s">
        <v>108</v>
      </c>
    </row>
    <row r="9" spans="2:3" ht="45.75" customHeight="1" x14ac:dyDescent="0.25">
      <c r="B9" s="20" t="s">
        <v>109</v>
      </c>
      <c r="C9" s="21" t="s">
        <v>110</v>
      </c>
    </row>
    <row r="11" spans="2:3" ht="70.5" customHeight="1" x14ac:dyDescent="0.25">
      <c r="B11" s="20" t="s">
        <v>111</v>
      </c>
      <c r="C11" s="21" t="s">
        <v>112</v>
      </c>
    </row>
    <row r="13" spans="2:3" ht="77.25" customHeight="1" x14ac:dyDescent="0.25">
      <c r="B13" s="20" t="s">
        <v>113</v>
      </c>
      <c r="C13" s="21" t="s">
        <v>114</v>
      </c>
    </row>
    <row r="15" spans="2:3" ht="45.75" customHeight="1" x14ac:dyDescent="0.25">
      <c r="B15" s="20" t="s">
        <v>115</v>
      </c>
      <c r="C15" s="21" t="s">
        <v>116</v>
      </c>
    </row>
    <row r="17" spans="2:3" ht="45.75" customHeight="1" x14ac:dyDescent="0.25">
      <c r="B17" s="20" t="s">
        <v>117</v>
      </c>
      <c r="C17" s="21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2026-08-20T19:40:05Z</dcterms:modified>
  <dc:language>en-US</dc:language>
</cp:coreProperties>
</file>