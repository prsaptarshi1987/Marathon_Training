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4B4BBD9C-88D7-4C62-AC3B-26AD64E3C89A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<sst xmlns="http://schemas.openxmlformats.org/spreadsheetml/2006/main" count="304" uniqueCount="111">
  <si>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</si>
  <si>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</si>
  <si>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</si>
  <si>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</si>
  <si>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</si>
  <si>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</si>
  <si>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</si>
  <si>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</si>
  <si>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</si>
  <si>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</si>
  <si>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</si>
  <si>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</si>
  <si>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</si>
  <si>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</si>
  <si>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</si>
  <si>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</si>
  <si>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</si>
  <si>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</si>
  <si>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</si>
  <si>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</si>
  <si>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</si>
  <si>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</si>
  <si>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</si>
  <si>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</si>
  <si>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</si>
  <si>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</si>
  <si>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</si>
  <si>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</si>
  <si>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</si>
  <si>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</si>
  <si>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</si>
  <si>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</si>
  <si>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</si>
  <si>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</si>
  <si>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</si>
  <si>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</si>
  <si>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</si>
  <si>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</si>
  <si>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</si>
  <si>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</si>
  <si>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</si>
  <si>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</si>
  <si>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</si>
  <si>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</si>
  <si>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</si>
  <si>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</si>
  <si>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</si>
  <si>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</si>
  <si>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</si>
  <si>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</si>
  <si>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</si>
  <si>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</si>
  <si>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</si>
  <si>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</si>
  <si>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</si>
  <si>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</si>
  <si>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</si>
  <si>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</si>
  <si>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</si>
  <si>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</si>
  <si>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</si>
  <si>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</si>
  <si>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</si>
  <si>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</si>
  <si>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</si>
  <si>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</si>
  <si>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</si>
  <si>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</si>
  <si>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</si>
  <si>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</si>
  <si>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</si>
  <si>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</si>
  <si>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</si>
  <si>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</si>
  <si>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</si>
  <si>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</si>
  <si>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</si>
  <si>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</si>
  <si>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</si>
  <si>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</si>
  <si>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</si>
  <si>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</si>
  <si>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</si>
  <si>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</si>
  <si>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</si>
  <si>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</si>
  <si>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</si>
  <si>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</si>
  <si>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</si>
  <si>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</si>
  <si>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</si>
  <si>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</si>
  <si>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</si>
  <si>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</si>
  <si>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</si>
  <si>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</si>
  <si>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</si>
  <si>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</si>
  <si>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</si>
  <si>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</si>
  <si>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</si>
  <si>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</si>
  <si>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</si>
  <si>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</si>
  <si>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</si>
  <si>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</si>
  <si>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</si>
  <si>
    <t>10 min long run warm up with robin arzon + Hill blasts + 90 min Evening Run</t>
  </si>
  <si>
    <t>Easy run really easy. Slowed down on hills section. Nose breathing. Did cooldown as walk. Hill blast section was followed after 10 min warmup.</t>
  </si>
  <si>
    <t>Just took a walk</t>
  </si>
  <si>
    <t>Just walk with dog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</si>
</sst>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9" activePane="bottomRight" state="frozen"/>
      <selection pane="topRight" activeCell="C1" sqref="C1"/>
      <selection pane="bottomLeft" activeCell="A6" sqref="A6"/>
      <selection pane="bottomRight" activeCell="F27" sqref="F27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 t="s">
        <v>107</v>
      </c>
      <c r="H25" s="9" t="s">
        <v>22</v>
      </c>
      <c r="I25" s="11">
        <v>140</v>
      </c>
      <c r="J25" s="9">
        <v>125</v>
      </c>
      <c r="K25" s="9">
        <v>7</v>
      </c>
      <c r="L25" s="9">
        <v>16.22</v>
      </c>
      <c r="M25" s="9">
        <v>136</v>
      </c>
      <c r="N25" s="9">
        <v>152</v>
      </c>
      <c r="O25" s="9">
        <v>3</v>
      </c>
      <c r="P25" s="8" t="s">
        <v>108</v>
      </c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 t="s">
        <v>109</v>
      </c>
      <c r="H26" s="9" t="s">
        <v>22</v>
      </c>
      <c r="I26" s="14">
        <v>0</v>
      </c>
      <c r="J26" s="9">
        <v>36</v>
      </c>
      <c r="K26" s="9">
        <v>1.41</v>
      </c>
      <c r="L26" s="9">
        <v>2</v>
      </c>
      <c r="M26" s="9">
        <v>100</v>
      </c>
      <c r="N26" s="9">
        <v>114</v>
      </c>
      <c r="O26" s="9">
        <v>1</v>
      </c>
      <c r="P26" s="8" t="s">
        <v>110</v>
      </c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7</v>
      </c>
      <c r="D8" s="17">
        <f>SUMIFS(Log!$J$6:$J$61,Log!$D$6:$D$61,B8)</f>
        <v>431</v>
      </c>
      <c r="E8" s="17">
        <f>SUMIFS(Log!$K$6:$K$61,Log!$D$6:$D$61,B8)</f>
        <v>22.82</v>
      </c>
      <c r="F8" s="17">
        <f>IFERROR(AVERAGEIFS(Log!$O$6:$O$61,Log!$D$6:$D$61,B8,Log!$H$6:$H$61,"Done"),"")</f>
        <v>3</v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17</v>
      </c>
      <c r="D14" s="19">
        <f>SUM(D6:D13)</f>
        <v>1053</v>
      </c>
      <c r="E14" s="19">
        <f>SUM(E6:E13)</f>
        <v>59.17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2026-08-17T15:42:44Z</dcterms:modified>
  <dc:language>en-US</dc:language>
</cp:coreProperties>
</file>