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2328B193-606B-4AD8-8991-A385DDED014A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<sst xmlns="http://schemas.openxmlformats.org/spreadsheetml/2006/main" count="306" uniqueCount="113">
  <si>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</si>
  <si>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</si>
  <si>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</si>
  <si>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</si>
  <si>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</si>
  <si>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</si>
  <si>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</si>
  <si>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</si>
  <si>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</si>
  <si>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</si>
  <si>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</si>
  <si>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</si>
  <si>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</si>
  <si>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</si>
  <si>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</si>
  <si>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</si>
  <si>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</si>
  <si>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</si>
  <si>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</si>
  <si>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</si>
  <si>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</si>
  <si>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</si>
  <si>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</si>
  <si>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</si>
  <si>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</si>
  <si>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</si>
  <si>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</si>
  <si>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</si>
  <si>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</si>
  <si>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</si>
  <si>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</si>
  <si>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</si>
  <si>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</si>
  <si>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</si>
  <si>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</si>
  <si>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</si>
  <si>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</si>
  <si>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</si>
  <si>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</si>
  <si>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</si>
  <si>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</si>
  <si>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</si>
  <si>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</si>
  <si>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</si>
  <si>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</si>
  <si>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</si>
  <si>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</si>
  <si>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</si>
  <si>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</si>
  <si>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</si>
  <si>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</si>
  <si>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</si>
  <si>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</si>
  <si>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</si>
  <si>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</si>
  <si>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</si>
  <si>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</si>
  <si>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</si>
  <si>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</si>
  <si>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</si>
  <si>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</si>
  <si>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</si>
  <si>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</si>
  <si>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</si>
  <si>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</si>
  <si>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</si>
  <si>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</si>
  <si>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</si>
  <si>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</si>
  <si>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</si>
  <si>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</si>
  <si>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</si>
  <si>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</si>
  <si>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</si>
  <si>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</si>
  <si>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</si>
  <si>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</si>
  <si>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</si>
  <si>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</si>
  <si>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</si>
  <si>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</si>
  <si>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</si>
  <si>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</si>
  <si>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</si>
  <si>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</si>
  <si>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</si>
  <si>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</si>
  <si>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</si>
  <si>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</si>
  <si>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</si>
  <si>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</si>
  <si>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</si>
  <si>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</si>
  <si>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</si>
  <si>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</si>
  <si>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</si>
  <si>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</si>
  <si>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</si>
  <si>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</si>
  <si>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</si>
  <si>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</si>
  <si>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</si>
  <si>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</si>
  <si>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</si>
  <si>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</si>
  <si>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</si>
  <si>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</si>
  <si>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</si>
  <si>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</si>
  <si>
    <t>Just took a walk</t>
  </si>
  <si>
    <t>Just walk with dog</t>
  </si>
  <si>
    <t>30 min Strength for Runners with Rebecca Kennedy</t>
  </si>
  <si>
    <t>20lb max weight training with focus on squats.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</si>
</sst>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9" activePane="bottomRight" state="frozen"/>
      <selection pane="topRight" activeCell="C1" sqref="C1"/>
      <selection pane="bottomLeft" activeCell="A6" sqref="A6"/>
      <selection pane="bottomRight" activeCell="P31" sqref="P31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 t="s">
        <v>107</v>
      </c>
      <c r="H25" s="9" t="s">
        <v>22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108</v>
      </c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 t="s">
        <v>109</v>
      </c>
      <c r="H26" s="9" t="s">
        <v>22</v>
      </c>
      <c r="I26" s="14">
        <v>0</v>
      </c>
      <c r="J26" s="9">
        <v>36</v>
      </c>
      <c r="K26" s="9">
        <v>1.41</v>
      </c>
      <c r="L26" s="9">
        <v>2</v>
      </c>
      <c r="M26" s="9">
        <v>100</v>
      </c>
      <c r="N26" s="9">
        <v>114</v>
      </c>
      <c r="O26" s="9">
        <v>1</v>
      </c>
      <c r="P26" s="8" t="s">
        <v>110</v>
      </c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 t="s">
        <v>111</v>
      </c>
      <c r="H27" s="9" t="s">
        <v>22</v>
      </c>
      <c r="I27" s="14">
        <v>0</v>
      </c>
      <c r="J27" s="9">
        <v>32</v>
      </c>
      <c r="K27" s="9">
        <v>0</v>
      </c>
      <c r="L27" s="9">
        <v>0</v>
      </c>
      <c r="M27" s="9">
        <v>122</v>
      </c>
      <c r="N27" s="9">
        <v>150</v>
      </c>
      <c r="O27" s="9">
        <v>3</v>
      </c>
      <c r="P27" s="8" t="s">
        <v>112</v>
      </c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7</v>
      </c>
      <c r="D8" s="17">
        <f>SUMIFS(Log!$J$6:$J$61,Log!$D$6:$D$61,B8)</f>
        <v>431</v>
      </c>
      <c r="E8" s="17">
        <f>SUMIFS(Log!$K$6:$K$61,Log!$D$6:$D$61,B8)</f>
        <v>22.82</v>
      </c>
      <c r="F8" s="17">
        <f>IFERROR(AVERAGEIFS(Log!$O$6:$O$61,Log!$D$6:$D$61,B8,Log!$H$6:$H$61,"Done"),"")</f>
        <v>3</v>
      </c>
    </row>
    <row r="9" spans="2:6" ht="15" customHeight="1" x14ac:dyDescent="0.25">
      <c r="B9" s="17">
        <v>4</v>
      </c>
      <c r="C9" s="17">
        <f>COUNTIFS(Log!$D$6:$D$61,B9,Log!$H$6:$H$61,"Done")</f>
        <v>1</v>
      </c>
      <c r="D9" s="17">
        <f>SUMIFS(Log!$J$6:$J$61,Log!$D$6:$D$61,B9)</f>
        <v>32</v>
      </c>
      <c r="E9" s="17">
        <f>SUMIFS(Log!$K$6:$K$61,Log!$D$6:$D$61,B9)</f>
        <v>0</v>
      </c>
      <c r="F9" s="17">
        <f>IFERROR(AVERAGEIFS(Log!$O$6:$O$61,Log!$D$6:$D$61,B9,Log!$H$6:$H$61,"Done"),"")</f>
        <v>3</v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18</v>
      </c>
      <c r="D14" s="19">
        <f>SUM(D6:D13)</f>
        <v>1085</v>
      </c>
      <c r="E14" s="19">
        <f>SUM(E6:E13)</f>
        <v>59.17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2026-08-18T01:03:37Z</dcterms:modified>
  <dc:language>en-US</dc:language>
</cp:coreProperties>
</file>