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F0D9C460-DC16-4A55-9D94-780475D8EB50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<sst xmlns="http://schemas.openxmlformats.org/spreadsheetml/2006/main" count="302" uniqueCount="109">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</sst>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7" activePane="bottomRight" state="frozen"/>
      <selection pane="topRight" activeCell="C1" sqref="C1"/>
      <selection pane="bottomLeft" activeCell="A6" sqref="A6"/>
      <selection pane="bottomRight" activeCell="H25" sqref="H25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 t="s">
        <v>107</v>
      </c>
      <c r="H25" s="9" t="s">
        <v>22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108</v>
      </c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6</v>
      </c>
      <c r="D8" s="17">
        <f>SUMIFS(Log!$J$6:$J$61,Log!$D$6:$D$61,B8)</f>
        <v>395</v>
      </c>
      <c r="E8" s="17">
        <f>SUMIFS(Log!$K$6:$K$61,Log!$D$6:$D$61,B8)</f>
        <v>21.41</v>
      </c>
      <c r="F8" s="17">
        <f>IFERROR(AVERAGEIFS(Log!$O$6:$O$61,Log!$D$6:$D$61,B8,Log!$H$6:$H$61,"Done"),"")</f>
        <v>3.3333333333333335</v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16</v>
      </c>
      <c r="D14" s="19">
        <f>SUM(D6:D13)</f>
        <v>1017</v>
      </c>
      <c r="E14" s="19">
        <f>SUM(E6:E13)</f>
        <v>57.760000000000005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2026-08-16T02:26:47Z</dcterms:modified>
  <dc:language>en-US</dc:language>
</cp:coreProperties>
</file>