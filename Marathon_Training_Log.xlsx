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96B86BE2-D554-4372-A969-92E023529C9B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<sst xmlns="http://schemas.openxmlformats.org/spreadsheetml/2006/main" count="568" uniqueCount="102">
  <si>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</si>
  <si>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</si>
  <si>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</si>
  <si>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</si>
  <si>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</si>
  <si>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</si>
  <si>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</si>
  <si>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</si>
  <si>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</si>
  <si>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</si>
  <si>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</si>
  <si>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</si>
  <si>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</si>
  <si>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</si>
  <si>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</si>
  <si>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</si>
  <si>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</si>
  <si>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</si>
  <si>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</si>
  <si>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</si>
  <si>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</si>
  <si>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</si>
  <si>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</si>
  <si>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</si>
  <si>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</si>
  <si>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</si>
  <si>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</si>
  <si>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</si>
  <si>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</si>
  <si>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</si>
  <si>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</si>
  <si>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</si>
  <si>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</si>
  <si>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</si>
  <si>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</si>
  <si>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</si>
  <si>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</si>
  <si>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</si>
  <si>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</si>
  <si>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</si>
  <si>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</si>
  <si>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</si>
  <si>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</si>
  <si>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</si>
  <si>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</si>
  <si>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</si>
  <si>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</si>
  <si>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</si>
  <si>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</si>
  <si>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</si>
  <si>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</si>
  <si>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</si>
  <si>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</si>
  <si>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</si>
  <si>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</si>
  <si>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</si>
  <si>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</si>
  <si>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</si>
  <si>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</si>
  <si>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</si>
  <si>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</si>
  <si>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</si>
  <si>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</si>
  <si>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</si>
  <si>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</si>
  <si>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</si>
  <si>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</si>
  <si>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</si>
  <si>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</si>
  <si>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</si>
  <si>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</si>
  <si>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</si>
  <si>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</si>
  <si>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</si>
  <si>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</si>
  <si>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</si>
  <si>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</si>
  <si>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</si>
  <si>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</si>
  <si>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</si>
  <si>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</si>
  <si>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</si>
  <si>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</si>
  <si>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</si>
  <si>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</si>
  <si>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</si>
  <si>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</si>
  <si>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</si>
  <si>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</si>
  <si>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Did striders on Saturday bur un on 10AUG2026 Monday</t>
  </si>
  <si>
    <t>Did long run this day.</t>
  </si>
  <si>
    <t>30 min 2010s Run with Adrian Williams + 20 min run</t>
  </si>
  <si>
    <t>45 min Marathon Race Prep with Robin Arzon + 10 min Pre run warmup</t>
  </si>
  <si>
    <t>45 min Tempo Run with Becs Gentry  + 20 min run</t>
  </si>
  <si>
    <t>30 min Strength for funners with Rebecca Kennedy</t>
  </si>
  <si>
    <t>Strength training</t>
  </si>
  <si>
    <t>Nose breathing run</t>
  </si>
  <si>
    <t>Night walk</t>
  </si>
  <si>
    <t>Just walk</t>
  </si>
  <si>
    <t>Rested</t>
  </si>
  <si>
    <t>Saturdays long run done this day. Too much hilly route. Definitely had to slow down.</t>
  </si>
  <si>
    <t>Just did striders.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</si>
</sst>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N24" sqref="N24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27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27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27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27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94</v>
      </c>
      <c r="H13" s="9" t="s">
        <v>27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95</v>
      </c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93</v>
      </c>
      <c r="H14" s="9" t="s">
        <v>27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96</v>
      </c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 t="s">
        <v>92</v>
      </c>
      <c r="H15" s="9" t="s">
        <v>27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96</v>
      </c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 t="s">
        <v>97</v>
      </c>
      <c r="H16" s="9" t="s">
        <v>27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98</v>
      </c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 t="s">
        <v>91</v>
      </c>
      <c r="H17" s="9" t="s">
        <v>27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 t="s">
        <v>89</v>
      </c>
      <c r="H18" s="9" t="s">
        <v>27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101</v>
      </c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 t="s">
        <v>99</v>
      </c>
      <c r="H19" s="9" t="s">
        <v>27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 t="s">
        <v>90</v>
      </c>
      <c r="H20" s="9" t="s">
        <v>27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100</v>
      </c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 t="s">
        <v>87</v>
      </c>
      <c r="H21" s="9" t="s">
        <v>27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88</v>
      </c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/>
      <c r="H22" s="9" t="s">
        <v>27</v>
      </c>
      <c r="I22" s="11">
        <v>55</v>
      </c>
      <c r="J22" s="9"/>
      <c r="K22" s="9"/>
      <c r="L22" s="9"/>
      <c r="M22" s="9"/>
      <c r="N22" s="9"/>
      <c r="O22" s="9"/>
      <c r="P22" s="8"/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27</v>
      </c>
      <c r="I23" s="14">
        <v>0</v>
      </c>
      <c r="J23" s="9"/>
      <c r="K23" s="9"/>
      <c r="L23" s="9"/>
      <c r="M23" s="9"/>
      <c r="N23" s="9"/>
      <c r="O23" s="9"/>
      <c r="P23" s="8"/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27</v>
      </c>
      <c r="I24" s="6">
        <v>50</v>
      </c>
      <c r="J24" s="9"/>
      <c r="K24" s="9"/>
      <c r="L24" s="9"/>
      <c r="M24" s="9"/>
      <c r="N24" s="9"/>
      <c r="O24" s="9"/>
      <c r="P24" s="8"/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/>
      <c r="H25" s="9" t="s">
        <v>27</v>
      </c>
      <c r="I25" s="11">
        <v>140</v>
      </c>
      <c r="J25" s="9"/>
      <c r="K25" s="9"/>
      <c r="L25" s="9"/>
      <c r="M25" s="9"/>
      <c r="N25" s="9"/>
      <c r="O25" s="9"/>
      <c r="P25" s="8"/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3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5</v>
      </c>
    </row>
    <row r="7" spans="2:6" ht="15" customHeight="1" x14ac:dyDescent="0.25">
      <c r="B7" s="17">
        <v>2</v>
      </c>
      <c r="C7" s="17">
        <f>COUNTIFS(Log!$D$6:$D$61,B7,Log!$H$6:$H$61,"Done")</f>
        <v>0</v>
      </c>
      <c r="D7" s="17">
        <f>SUMIFS(Log!$J$6:$J$61,Log!$D$6:$D$61,B7)</f>
        <v>242</v>
      </c>
      <c r="E7" s="17">
        <f>SUMIFS(Log!$K$6:$K$61,Log!$D$6:$D$61,B7)</f>
        <v>13.7</v>
      </c>
      <c r="F7" s="17" t="str">
        <f>IFERROR(AVERAGEIFS(Log!$O$6:$O$61,Log!$D$6:$D$61,B7,Log!$H$6:$H$61,"Done"),"")</f>
        <v/>
      </c>
    </row>
    <row r="8" spans="2:6" ht="15" customHeight="1" x14ac:dyDescent="0.25">
      <c r="B8" s="17">
        <v>3</v>
      </c>
      <c r="C8" s="17">
        <f>COUNTIFS(Log!$D$6:$D$61,B8,Log!$H$6:$H$61,"Done")</f>
        <v>0</v>
      </c>
      <c r="D8" s="17">
        <f>SUMIFS(Log!$J$6:$J$61,Log!$D$6:$D$61,B8)</f>
        <v>200</v>
      </c>
      <c r="E8" s="17">
        <f>SUMIFS(Log!$K$6:$K$61,Log!$D$6:$D$61,B8)</f>
        <v>10.23</v>
      </c>
      <c r="F8" s="17" t="str">
        <f>IFERROR(AVERAGEIFS(Log!$O$6:$O$61,Log!$D$6:$D$61,B8,Log!$H$6:$H$61,"Done"),"")</f>
        <v/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3</v>
      </c>
      <c r="D14" s="19">
        <f>SUM(D6:D13)</f>
        <v>822</v>
      </c>
      <c r="E14" s="19">
        <f>SUM(E6:E13)</f>
        <v>46.58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2026-08-13T13:41:39Z</dcterms:modified>
  <dc:language>en-US</dc:language>
</cp:coreProperties>
</file>