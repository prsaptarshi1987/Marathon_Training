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04-Personal\01-Marathon Training\Marathon_Training\"/>
    </mc:Choice>
  </mc:AlternateContent>
  <xr:revisionPtr revIDLastSave="0" documentId="13_ncr:1_{C1C18ED4-6FAD-4139-A6BE-7C5C9872E42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<sst xmlns="http://schemas.openxmlformats.org/spreadsheetml/2006/main" count="284" uniqueCount="91">
  <si>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</si>
  <si>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</si>
  <si>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</si>
  <si>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</si>
  <si>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</si>
  <si>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</si>
  <si>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</si>
  <si>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</si>
  <si>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</si>
  <si>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</si>
  <si>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</si>
  <si>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</si>
  <si>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</si>
  <si>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</si>
  <si>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</si>
  <si>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</si>
  <si>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</si>
  <si>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</si>
  <si>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</si>
  <si>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</si>
  <si>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</si>
  <si>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</si>
  <si>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</si>
  <si>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</si>
  <si>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</si>
  <si>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</si>
  <si>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</si>
  <si>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</si>
  <si>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</si>
  <si>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</si>
  <si>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</si>
  <si>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</si>
  <si>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</si>
  <si>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</si>
  <si>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</si>
  <si>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</si>
  <si>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</si>
  <si>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</si>
  <si>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</si>
  <si>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</si>
  <si>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</si>
  <si>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</si>
  <si>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</si>
  <si>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</si>
  <si>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</si>
  <si>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</si>
  <si>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</si>
  <si>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</si>
  <si>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</si>
  <si>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</si>
  <si>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</si>
  <si>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</si>
  <si>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</si>
  <si>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</si>
  <si>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</si>
  <si>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</si>
  <si>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</si>
  <si>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</si>
  <si>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</si>
  <si>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</si>
  <si>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</si>
  <si>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</si>
  <si>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</si>
  <si>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</si>
  <si>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</si>
  <si>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</si>
  <si>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</si>
  <si>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</si>
  <si>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</si>
  <si>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</si>
  <si>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</si>
  <si>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</si>
  <si>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</si>
  <si>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</si>
  <si>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</si>
  <si>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</si>
  <si>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</si>
  <si>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</si>
  <si>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</si>
  <si>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</si>
  <si>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</si>
  <si>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</si>
  <si>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</si>
  <si>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</si>
  <si>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</si>
  <si>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</si>
  <si>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</si>
  <si>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Plan to finish the Strength class from week 1</t>
  </si>
  <si>
    <t>Strength training for runners. Used 22.5 lb dumbell pair. Not overloading. Took it easy where necessary.</t>
  </si>
  <si>
    <t>10 min Pre-Run Warm Up with Matt Wilpers + 45 min Tempo Run with Becs Gentry + Evening Run 20 min</t>
  </si>
  <si>
    <t>Predominantly nose breathing. Easy run. Heart rate was still slightly higher with hilly portions on the route. Exploring new routes.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</si>
</sst>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M16" sqref="M16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27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27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27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27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87</v>
      </c>
      <c r="H13" s="9" t="s">
        <v>27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4</v>
      </c>
      <c r="P13" s="8" t="s">
        <v>88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89</v>
      </c>
      <c r="H14" s="9" t="s">
        <v>27</v>
      </c>
      <c r="I14" s="6">
        <v>65</v>
      </c>
      <c r="J14" s="9">
        <v>65</v>
      </c>
      <c r="K14" s="9">
        <v>4.87</v>
      </c>
      <c r="L14" s="9">
        <v>13.34</v>
      </c>
      <c r="M14" s="9">
        <v>154</v>
      </c>
      <c r="N14" s="9">
        <v>165</v>
      </c>
      <c r="O14" s="9">
        <v>5</v>
      </c>
      <c r="P14" s="8" t="s">
        <v>90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/>
      <c r="H15" s="9" t="s">
        <v>27</v>
      </c>
      <c r="I15" s="11">
        <v>52</v>
      </c>
      <c r="J15" s="9"/>
      <c r="K15" s="9"/>
      <c r="L15" s="9"/>
      <c r="M15" s="9"/>
      <c r="N15" s="9"/>
      <c r="O15" s="9"/>
      <c r="P15" s="8"/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/>
      <c r="H16" s="9" t="s">
        <v>27</v>
      </c>
      <c r="I16" s="14">
        <v>0</v>
      </c>
      <c r="J16" s="9"/>
      <c r="K16" s="9"/>
      <c r="L16" s="9"/>
      <c r="M16" s="9"/>
      <c r="N16" s="9"/>
      <c r="O16" s="9"/>
      <c r="P16" s="8"/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/>
      <c r="H17" s="9" t="s">
        <v>27</v>
      </c>
      <c r="I17" s="6">
        <v>50</v>
      </c>
      <c r="J17" s="9"/>
      <c r="K17" s="9"/>
      <c r="L17" s="9"/>
      <c r="M17" s="9"/>
      <c r="N17" s="9"/>
      <c r="O17" s="9"/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/>
      <c r="H18" s="9" t="s">
        <v>27</v>
      </c>
      <c r="I18" s="11">
        <v>135</v>
      </c>
      <c r="J18" s="9"/>
      <c r="K18" s="9"/>
      <c r="L18" s="9"/>
      <c r="M18" s="9"/>
      <c r="N18" s="9"/>
      <c r="O18" s="9"/>
      <c r="P18" s="8"/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/>
      <c r="H19" s="9" t="s">
        <v>27</v>
      </c>
      <c r="I19" s="14">
        <v>0</v>
      </c>
      <c r="J19" s="9"/>
      <c r="K19" s="9"/>
      <c r="L19" s="9"/>
      <c r="M19" s="9"/>
      <c r="N19" s="9"/>
      <c r="O19" s="9"/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/>
      <c r="H20" s="9" t="s">
        <v>27</v>
      </c>
      <c r="I20" s="14">
        <v>0</v>
      </c>
      <c r="J20" s="9"/>
      <c r="K20" s="9"/>
      <c r="L20" s="9"/>
      <c r="M20" s="9"/>
      <c r="N20" s="9"/>
      <c r="O20" s="9"/>
      <c r="P20" s="8"/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/>
      <c r="H21" s="9" t="s">
        <v>27</v>
      </c>
      <c r="I21" s="6">
        <v>65</v>
      </c>
      <c r="J21" s="9"/>
      <c r="K21" s="9"/>
      <c r="L21" s="9"/>
      <c r="M21" s="9"/>
      <c r="N21" s="9"/>
      <c r="O21" s="9"/>
      <c r="P21" s="8"/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/>
      <c r="H22" s="9" t="s">
        <v>27</v>
      </c>
      <c r="I22" s="11">
        <v>55</v>
      </c>
      <c r="J22" s="9"/>
      <c r="K22" s="9"/>
      <c r="L22" s="9"/>
      <c r="M22" s="9"/>
      <c r="N22" s="9"/>
      <c r="O22" s="9"/>
      <c r="P22" s="8"/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27</v>
      </c>
      <c r="I23" s="14">
        <v>0</v>
      </c>
      <c r="J23" s="9"/>
      <c r="K23" s="9"/>
      <c r="L23" s="9"/>
      <c r="M23" s="9"/>
      <c r="N23" s="9"/>
      <c r="O23" s="9"/>
      <c r="P23" s="8"/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27</v>
      </c>
      <c r="I24" s="6">
        <v>50</v>
      </c>
      <c r="J24" s="9"/>
      <c r="K24" s="9"/>
      <c r="L24" s="9"/>
      <c r="M24" s="9"/>
      <c r="N24" s="9"/>
      <c r="O24" s="9"/>
      <c r="P24" s="8"/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3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5</v>
      </c>
    </row>
    <row r="7" spans="2:6" ht="15" customHeight="1" x14ac:dyDescent="0.25">
      <c r="B7" s="17">
        <v>2</v>
      </c>
      <c r="C7" s="17">
        <f>COUNTIFS(Log!$D$6:$D$61,B7,Log!$H$6:$H$61,"Done")</f>
        <v>0</v>
      </c>
      <c r="D7" s="17">
        <f>SUMIFS(Log!$J$6:$J$61,Log!$D$6:$D$61,B7)</f>
        <v>95</v>
      </c>
      <c r="E7" s="17">
        <f>SUMIFS(Log!$K$6:$K$61,Log!$D$6:$D$61,B7)</f>
        <v>4.87</v>
      </c>
      <c r="F7" s="17" t="str">
        <f>IFERROR(AVERAGEIFS(Log!$O$6:$O$61,Log!$D$6:$D$61,B7,Log!$H$6:$H$61,"Done"),"")</f>
        <v/>
      </c>
    </row>
    <row r="8" spans="2:6" ht="15" customHeight="1" x14ac:dyDescent="0.25">
      <c r="B8" s="17">
        <v>3</v>
      </c>
      <c r="C8" s="17">
        <f>COUNTIFS(Log!$D$6:$D$61,B8,Log!$H$6:$H$61,"Done")</f>
        <v>0</v>
      </c>
      <c r="D8" s="17">
        <f>SUMIFS(Log!$J$6:$J$61,Log!$D$6:$D$61,B8)</f>
        <v>0</v>
      </c>
      <c r="E8" s="17">
        <f>SUMIFS(Log!$K$6:$K$61,Log!$D$6:$D$61,B8)</f>
        <v>0</v>
      </c>
      <c r="F8" s="17" t="str">
        <f>IFERROR(AVERAGEIFS(Log!$O$6:$O$61,Log!$D$6:$D$61,B8,Log!$H$6:$H$61,"Done"),"")</f>
        <v/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3</v>
      </c>
      <c r="D14" s="19">
        <f>SUM(D6:D13)</f>
        <v>475</v>
      </c>
      <c r="E14" s="19">
        <f>SUM(E6:E13)</f>
        <v>27.520000000000003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2026-08-05T13:03:16Z</dcterms:modified>
  <dc:language>en-US</dc:language>
</cp:coreProperties>
</file>