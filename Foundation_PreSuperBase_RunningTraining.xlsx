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Dashboard" sheetId="3" state="visible" r:id="rId5"/>
    <sheet name="Calendar" sheetId="4" state="visible" r:id="rId6"/>
    <sheet name="Workout Library" sheetId="5" state="visible" r:id="rId7"/>
    <sheet name="Paces" sheetId="6" state="visible" r:id="rId8"/>
    <sheet name="Coach Philosophy" sheetId="7" state="visible" r:id="rId9"/>
    <sheet name="Progress 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<sst xmlns="http://schemas.openxmlformats.org/spreadsheetml/2006/main" count="843" uniqueCount="291">
  <si>
    <t xml:space="preserve">John Starrett's Foundation &amp; Pre-Super Base</t>
  </si>
  <si>
    <t xml:space="preserve">The Stablemaster's on-ramp — what a newer, slower runner does BEFORE the Super Base</t>
  </si>
  <si>
    <t xml:space="preserve">Workbook</t>
  </si>
  <si>
    <t xml:space="preserve">Phase Roadmap</t>
  </si>
  <si>
    <t xml:space="preserve">Version</t>
  </si>
  <si>
    <t xml:space="preserve">1.0.0</t>
  </si>
  <si>
    <t xml:space="preserve">Pre-Foundation</t>
  </si>
  <si>
    <t xml:space="preserve">● v1.0.0 (implemented)</t>
  </si>
  <si>
    <t xml:space="preserve">Build date</t>
  </si>
  <si>
    <t xml:space="preserve">July 23, 2026</t>
  </si>
  <si>
    <t xml:space="preserve">Foundation</t>
  </si>
  <si>
    <t xml:space="preserve">Phases implemented</t>
  </si>
  <si>
    <t xml:space="preserve">Pre-Foundation + Foundation + Pre-Super Base</t>
  </si>
  <si>
    <t xml:space="preserve">Pre-Super Base</t>
  </si>
  <si>
    <t xml:space="preserve">Structure</t>
  </si>
  <si>
    <t xml:space="preserve">≈2 wk on-ramp + 10 wk Foundation + 8 wk Pre-Super Base</t>
  </si>
  <si>
    <t xml:space="preserve">Super Base</t>
  </si>
  <si>
    <t xml:space="preserve">→ separate workbook</t>
  </si>
  <si>
    <t xml:space="preserve">Weekly rhythm</t>
  </si>
  <si>
    <t xml:space="preserve">4 runs/wk (Tue/Wed/Fri/Sat) + 3 rest days</t>
  </si>
  <si>
    <t xml:space="preserve">Marathon Bridge</t>
  </si>
  <si>
    <t xml:space="preserve">○ Future</t>
  </si>
  <si>
    <t xml:space="preserve">Built for</t>
  </si>
  <si>
    <t xml:space="preserve">A newer, slower, low-volume runner (expanded per John's advice)</t>
  </si>
  <si>
    <t xml:space="preserve">Marathon Specific</t>
  </si>
  <si>
    <t xml:space="preserve">Leads into</t>
  </si>
  <si>
    <t xml:space="preserve">The Super Base workbook (starts once 3x65 + 90 easy is comfortable)</t>
  </si>
  <si>
    <t xml:space="preserve">Coach Philosophy for this stage — the short version</t>
  </si>
  <si>
    <t xml:space="preserve">• You are (for now) a 'shuffler': hip-flexor dominant. The whole point of this block is to fix that BEFORE any real speed work.</t>
  </si>
  <si>
    <t xml:space="preserve">• Too much too soon is how beginners get hurt — shin splints / medial tibial stress. Build the musculoskeletal system first.</t>
  </si>
  <si>
    <t xml:space="preserve">• Foundation = get to 3x65 min easy + 1x90 min easy, comfortably. No tempo, no intervals. Just time on feet, run by feel.</t>
  </si>
  <si>
    <t xml:space="preserve">• Pre-Super Base = rewire the stride. Hill blasts + aerobic strides turn the shuffle into a glute-driven, economical run.</t>
  </si>
  <si>
    <t xml:space="preserve">• Slower / newer runners get an ELONGATED block — John says so explicitly. Time is on your side. Don't rush to the Super Base.</t>
  </si>
  <si>
    <t xml:space="preserve">• Four runs a week beats three: three is maintenance, four lets you progress with less injury risk.</t>
  </si>
  <si>
    <t xml:space="preserve">• Only move to the Super Base once the long run and easy runs feel genuinely comfortable and form has changed.</t>
  </si>
  <si>
    <t xml:space="preserve">Navigate</t>
  </si>
  <si>
    <t xml:space="preserve">Inputs</t>
  </si>
  <si>
    <t xml:space="preserve">→</t>
  </si>
  <si>
    <t xml:space="preserve">Dashboard</t>
  </si>
  <si>
    <t xml:space="preserve">Calendar</t>
  </si>
  <si>
    <t xml:space="preserve">Workout Library</t>
  </si>
  <si>
    <t xml:space="preserve">Paces</t>
  </si>
  <si>
    <t xml:space="preserve">Coach Philosophy</t>
  </si>
  <si>
    <t xml:space="preserve">Progress Log</t>
  </si>
  <si>
    <t xml:space="preserve">Yellow cells are yours to edit. Dates and the calendar derive from these.</t>
  </si>
  <si>
    <t xml:space="preserve">Athlete</t>
  </si>
  <si>
    <t xml:space="preserve">How this workbook flows</t>
  </si>
  <si>
    <t xml:space="preserve">Name</t>
  </si>
  <si>
    <t xml:space="preserve">Friend</t>
  </si>
  <si>
    <t xml:space="preserve">1. Inputs — Set the start date here. Everything in the calendar derives from it.</t>
  </si>
  <si>
    <t xml:space="preserve">2. Dashboard — Where you are today: current week, phase, this week's runs.</t>
  </si>
  <si>
    <t xml:space="preserve">Pace</t>
  </si>
  <si>
    <t xml:space="preserve">3. Calendar — The full day-by-day plan across all phases.</t>
  </si>
  <si>
    <t xml:space="preserve">Current easy pace — min/mi (optional, info only)</t>
  </si>
  <si>
    <t xml:space="preserve">10:30</t>
  </si>
  <si>
    <t xml:space="preserve">4. Workout Library — Read the hill-blast &amp; aerobic-stride cards BEFORE your first one.</t>
  </si>
  <si>
    <t xml:space="preserve">Note</t>
  </si>
  <si>
    <t xml:space="preserve">For your reference only — nothing computes off pace. This block is run 100% by feel.</t>
  </si>
  <si>
    <t xml:space="preserve">5. Paces — There are almost no pace targets here on purpose. Run by feel/effort.</t>
  </si>
  <si>
    <t xml:space="preserve">6. Coach Philosophy — Why this on-ramp exists and what it's doing to your body.</t>
  </si>
  <si>
    <t xml:space="preserve">7. Progress Log — One row per day. Mark status; the Dashboard updates automatically.</t>
  </si>
  <si>
    <t xml:space="preserve">Dates</t>
  </si>
  <si>
    <t xml:space="preserve">Start date (Monday of Week 1)</t>
  </si>
  <si>
    <t xml:space="preserve">Plan end date (Sunday of final week) — derived</t>
  </si>
  <si>
    <t xml:space="preserve">Plan structure</t>
  </si>
  <si>
    <t xml:space="preserve">Total duration</t>
  </si>
  <si>
    <t xml:space="preserve">≈20 weeks (expanded for a newer/slower runner)</t>
  </si>
  <si>
    <t xml:space="preserve">Pre-Foundation (on-ramp)</t>
  </si>
  <si>
    <t xml:space="preserve">2 weeks — jog-walk / very short easy runs</t>
  </si>
  <si>
    <t xml:space="preserve">10 weeks — build to 3x65 easy + 1x90 easy (John's canonical is ~7; lengthened here)</t>
  </si>
  <si>
    <t xml:space="preserve">8 weeks — hill blasts + aerobic strides (John's canonical is ~7; +1 buffer)</t>
  </si>
  <si>
    <t xml:space="preserve">Runs per week</t>
  </si>
  <si>
    <t xml:space="preserve">4 (Tue/Wed/Fri/Sat)</t>
  </si>
  <si>
    <t xml:space="preserve">Then</t>
  </si>
  <si>
    <t xml:space="preserve">Move to the Super Base workbook</t>
  </si>
  <si>
    <t xml:space="preserve">Why longer than John's default?</t>
  </si>
  <si>
    <t xml:space="preserve">John: for a very de-conditioned runner he starts at ~35-min runs and runs an 'elongated pre super base ... rather than the seven weeks it normally takes.' Progress 5-10 min/week by feel, gated on injury history/age/time. Sources on Coach Philosophy tab.</t>
  </si>
  <si>
    <t xml:space="preserve">Where you are today. Refreshes from Inputs and the Progress Log.</t>
  </si>
  <si>
    <t xml:space="preserve">CURRENT WEEK</t>
  </si>
  <si>
    <t xml:space="preserve">CURRENT PHASE</t>
  </si>
  <si>
    <t xml:space="preserve">TOTAL WEEKS</t>
  </si>
  <si>
    <t xml:space="preserve">COMPLETION</t>
  </si>
  <si>
    <t xml:space="preserve">This week's runs</t>
  </si>
  <si>
    <t xml:space="preserve">Tue</t>
  </si>
  <si>
    <t xml:space="preserve">Wed — KEY</t>
  </si>
  <si>
    <t xml:space="preserve">Fri</t>
  </si>
  <si>
    <t xml:space="preserve">Sat — KEY/LONG</t>
  </si>
  <si>
    <t xml:space="preserve">Status tally</t>
  </si>
  <si>
    <t xml:space="preserve">Completed</t>
  </si>
  <si>
    <t xml:space="preserve">Modified</t>
  </si>
  <si>
    <t xml:space="preserve">Missed</t>
  </si>
  <si>
    <t xml:space="preserve">Foundation &amp; Pre-Super Base Calendar</t>
  </si>
  <si>
    <t xml:space="preserve">Wk</t>
  </si>
  <si>
    <t xml:space="preserve">Week of</t>
  </si>
  <si>
    <t xml:space="preserve">Phase</t>
  </si>
  <si>
    <t xml:space="preserve">Mon</t>
  </si>
  <si>
    <t xml:space="preserve">Thu</t>
  </si>
  <si>
    <t xml:space="preserve">Sat — KEY / LONG</t>
  </si>
  <si>
    <t xml:space="preserve">Sun</t>
  </si>
  <si>
    <t xml:space="preserve">Weekly notes</t>
  </si>
  <si>
    <t xml:space="preserve">Pre-Foundation 1</t>
  </si>
  <si>
    <t xml:space="preserve">Rest or 20 min walk</t>
  </si>
  <si>
    <t xml:space="preserve">Jog-walk 25 min (e.g. 3 min jog / 1 min walk)</t>
  </si>
  <si>
    <t xml:space="preserve">Jog-walk 25 min easy</t>
  </si>
  <si>
    <t xml:space="preserve">Jog-walk 30 min easy</t>
  </si>
  <si>
    <t xml:space="preserve">Rest</t>
  </si>
  <si>
    <t xml:space="preserve">On-ramp. Goal is simply to get the body used to being on its feet. All by feel, conversational. If a niggle appears, walk more. Skip if you already run 30+ min comfortably.</t>
  </si>
  <si>
    <t xml:space="preserve">Pre-Foundation 2</t>
  </si>
  <si>
    <t xml:space="preserve">Easy run 30 min (walk breaks as needed)</t>
  </si>
  <si>
    <t xml:space="preserve">Easy run 30 min</t>
  </si>
  <si>
    <t xml:space="preserve">Easy run 35 min</t>
  </si>
  <si>
    <t xml:space="preserve">Bridging to Foundation. When you can run ~35 min continuously and easily, you're ready for Week 1 of Foundation. No rush.</t>
  </si>
  <si>
    <t xml:space="preserve">Foundation 1</t>
  </si>
  <si>
    <t xml:space="preserve">Rest / cross-train</t>
  </si>
  <si>
    <t xml:space="preserve">Easy 35 min</t>
  </si>
  <si>
    <t xml:space="preserve">Long run 40 min easy (no tempo)</t>
  </si>
  <si>
    <t xml:space="preserve">Foundation begins. Three easy runs + one slightly longer. Everything conversational — you should be able to talk in full sentences.</t>
  </si>
  <si>
    <t xml:space="preserve">Foundation 2</t>
  </si>
  <si>
    <t xml:space="preserve">Easy 40 min</t>
  </si>
  <si>
    <t xml:space="preserve">Long run 45 min easy (no tempo)</t>
  </si>
  <si>
    <t xml:space="preserve">Add ~5 min. Same effort. If last week felt hard or a niggle showed up, repeat the previous week instead — that's a feature, not failure.</t>
  </si>
  <si>
    <t xml:space="preserve">Foundation 3</t>
  </si>
  <si>
    <t xml:space="preserve">Easy 45 min</t>
  </si>
  <si>
    <t xml:space="preserve">Long run 50 min easy (no tempo)</t>
  </si>
  <si>
    <t xml:space="preserve">Long run creeps toward an hour. Easy runs leading it. Watch for shin/calf tightness — that's the classic beginner warning sign.</t>
  </si>
  <si>
    <t xml:space="preserve">Foundation 4</t>
  </si>
  <si>
    <t xml:space="preserve">Easy 50 min</t>
  </si>
  <si>
    <t xml:space="preserve">Long run 55 min easy (no tempo)</t>
  </si>
  <si>
    <t xml:space="preserve">Consolidation. Note how the same pace is starting to feel easier and heart rate drifts down — that's the base being laid.</t>
  </si>
  <si>
    <t xml:space="preserve">Foundation 5</t>
  </si>
  <si>
    <t xml:space="preserve">Easy 55 min</t>
  </si>
  <si>
    <t xml:space="preserve">Long run 60 min easy (no tempo)</t>
  </si>
  <si>
    <t xml:space="preserve">Long run hits 60 min. Big milestone. Keep it strictly easy — no showing off on the long run.</t>
  </si>
  <si>
    <t xml:space="preserve">Foundation 6</t>
  </si>
  <si>
    <t xml:space="preserve">Easy 60 min</t>
  </si>
  <si>
    <t xml:space="preserve">Long run 70 min easy (no tempo)</t>
  </si>
  <si>
    <t xml:space="preserve">Long run past an hour. If life/energy is tight this week, hold volume flat — consistency beats heroics.</t>
  </si>
  <si>
    <t xml:space="preserve">Foundation 7</t>
  </si>
  <si>
    <t xml:space="preserve">Long run 75 min easy (no tempo)</t>
  </si>
  <si>
    <t xml:space="preserve">All easy runs at ~60 now. Long run building. You're most of the way to the Foundation target.</t>
  </si>
  <si>
    <t xml:space="preserve">Foundation 8</t>
  </si>
  <si>
    <t xml:space="preserve">Easy 65 min</t>
  </si>
  <si>
    <t xml:space="preserve">Long run 80 min easy (no tempo)</t>
  </si>
  <si>
    <t xml:space="preserve">First 65-min easy run. Long run 80. If everything feels comfortable, press on; if not, sit here another week.</t>
  </si>
  <si>
    <t xml:space="preserve">Foundation 9</t>
  </si>
  <si>
    <t xml:space="preserve">Long run 85 min easy (no tempo)</t>
  </si>
  <si>
    <t xml:space="preserve">Two 65s in. One more easy run and ~5 min on the long run to go. Do NOT rush this — 'too much too soon' is the enemy.</t>
  </si>
  <si>
    <t xml:space="preserve">Foundation 10</t>
  </si>
  <si>
    <t xml:space="preserve">Long run 90 min easy (no tempo)</t>
  </si>
  <si>
    <t xml:space="preserve">FOUNDATION COMPLETE (target reached): 3x65 easy + 1x90 easy, comfortably. If it isn't yet comfortable, repeat weeks until it is, THEN start Pre-Super Base.</t>
  </si>
  <si>
    <t xml:space="preserve">Pre-Super Base 1</t>
  </si>
  <si>
    <t xml:space="preserve">WU + 3x(5x20s @ 5K effort, jog-back recovery) w/ 3 min jog between sets + CD</t>
  </si>
  <si>
    <t xml:space="preserve">Easy 45-50 min (or rest if legs are heavy from strides/hills)</t>
  </si>
  <si>
    <t xml:space="preserve">Hill blasts: WU + drills + 4x 8-sec blasts (2:30 walk recovery). Tall/relaxed/piston/pop.  |  then/next day: Long run 90 min easy</t>
  </si>
  <si>
    <t xml:space="preserve">Pre-Super Base begins — the stride-rewiring block. Week rhythm: 1 easy 65, aerobic strides, hill blasts, long run 90. Long run STAYS at 90 all block — just time on feet.</t>
  </si>
  <si>
    <t xml:space="preserve">Pre-Super Base 2</t>
  </si>
  <si>
    <t xml:space="preserve">WU + 3x(5x30s @ 5K effort, jog-back) w/ 3 min jog between sets + CD</t>
  </si>
  <si>
    <t xml:space="preserve">Hill blasts: WU + drills + 4x 8-sec blasts (2:30 walk). Film yourself; check form.  |  then/next day: Long run 90 min easy</t>
  </si>
  <si>
    <t xml:space="preserve">Hill blasts + strides work synergistically: the hill-blast form (glutes, hip extension) leaks into the strides and then into your easy running. Read the Workout Library cards.</t>
  </si>
  <si>
    <t xml:space="preserve">Pre-Super Base 3</t>
  </si>
  <si>
    <t xml:space="preserve">WU + 3x(5x40s @ 5K effort, jog-back) w/ 3 min jog between sets + CD</t>
  </si>
  <si>
    <t xml:space="preserve">Hill blasts: WU + drills + 6x 8-sec blasts (2:30 walk recovery).  |  then/next day: Long run 90 min easy</t>
  </si>
  <si>
    <t xml:space="preserve">Strides now 40s. You may notice easy-run pace drifting faster at the SAME effort, heart rate lower — that's improving running economy, exactly the goal.</t>
  </si>
  <si>
    <t xml:space="preserve">Pre-Super Base 4</t>
  </si>
  <si>
    <t xml:space="preserve">WU + 3x(5x40s) + 3 min jog + 2 min @ 5K effort add-on + CD</t>
  </si>
  <si>
    <t xml:space="preserve">Add-on begins (2 min). The strides session starts to feel like a light workout at the tail end. Recoveries stay generous — stimulate, don't annihilate.</t>
  </si>
  <si>
    <t xml:space="preserve">Pre-Super Base 5</t>
  </si>
  <si>
    <t xml:space="preserve">WU + 3x(5x40s) + 3 min jog + 3 min @ 5K effort add-on + CD</t>
  </si>
  <si>
    <t xml:space="preserve">Hill blasts: WU + drills + 8x 8-sec blasts (2:30 walk recovery).  |  then/next day: Long run 90 min easy</t>
  </si>
  <si>
    <t xml:space="preserve">Add-on 3 min. Hill blasts at full 8 reps now. If Achilles/calf grumbles, skip hill blasts and keep strides only — hill blasts are optional if injury-prone.</t>
  </si>
  <si>
    <t xml:space="preserve">Pre-Super Base 6</t>
  </si>
  <si>
    <t xml:space="preserve">WU + 3x(5x40s) + 3 min jog + 4 min @ 5K effort add-on + CD</t>
  </si>
  <si>
    <t xml:space="preserve">Add-on 4 min — this one bites a little. That's fine. Still finish feeling you could do 1-2 more.</t>
  </si>
  <si>
    <t xml:space="preserve">Pre-Super Base 7</t>
  </si>
  <si>
    <t xml:space="preserve">WU + 3x(5x40s) + 3 min jog + 5 min @ 5K effort add-on + CD (peak stride session)</t>
  </si>
  <si>
    <t xml:space="preserve">Add-on 5 min — peak Pre-Super Base session. The 5-min add-on will often be FASTER than your very first 20s stride felt. That's the whole trick working.</t>
  </si>
  <si>
    <t xml:space="preserve">Pre-Super Base 8</t>
  </si>
  <si>
    <t xml:space="preserve">Repeat: WU + 3x(5x40s) + 3 min jog + 5 min add-on + CD (consolidate, form dialled)</t>
  </si>
  <si>
    <t xml:space="preserve">Consolidation / bridge week. Form should now feel automatic. When it does, you're ready for the SUPER BASE workbook. If not, hold here another week or two.</t>
  </si>
  <si>
    <t xml:space="preserve">The Stazza sessions used in this on-ramp. Read the card BEFORE you run the workout.</t>
  </si>
  <si>
    <t xml:space="preserve">Easy Run</t>
  </si>
  <si>
    <t xml:space="preserve">Purpose</t>
  </si>
  <si>
    <t xml:space="preserve">The backbone of Foundation. Time on feet to build the musculoskeletal system and teach you to run by feel. This is where beginners get hurt by going too fast — don't.</t>
  </si>
  <si>
    <t xml:space="preserve">Effort</t>
  </si>
  <si>
    <t xml:space="preserve">Conversational. Full sentences. Nose-breathing when possible. If you can't chat, you're too fast.</t>
  </si>
  <si>
    <t xml:space="preserve">Continuous. Walk breaks are completely fine early on — jog-walk your way up.</t>
  </si>
  <si>
    <t xml:space="preserve">Progression</t>
  </si>
  <si>
    <t xml:space="preserve">Add 5-10 min per week, gated on how you feel. Injury history, age, sleep, life stress all lower the safe rate. Repeat a week whenever needed.</t>
  </si>
  <si>
    <t xml:space="preserve">Coach note</t>
  </si>
  <si>
    <t xml:space="preserve">John starts genuinely new/de-conditioned runners at ~35 min and builds to 3x65 + 90. Slower runners take longer — that's expected, not a problem.</t>
  </si>
  <si>
    <t xml:space="preserve">Common mistakes</t>
  </si>
  <si>
    <t xml:space="preserve">Running easy runs at moderate pace. Chasing Strava. Adding minutes faster than the body adapts.</t>
  </si>
  <si>
    <t xml:space="preserve">Long Run (Foundation)</t>
  </si>
  <si>
    <t xml:space="preserve">One longer easy run per week. Accustom the body to time and distance on feet. No tempo, no surges.</t>
  </si>
  <si>
    <t xml:space="preserve">Same easy, conversational effort as the easy runs — just longer.</t>
  </si>
  <si>
    <t xml:space="preserve">Build toward 90 min. In Pre-Super Base it STAYS at 90 (does not grow) — the body is getting used to that duration.</t>
  </si>
  <si>
    <t xml:space="preserve">'Just 90 minutes easy. There's no tempo in it. It doesn't go any longer than that.' The long run only starts carrying real work once you reach the Super Base.</t>
  </si>
  <si>
    <t xml:space="preserve">Hill Blasts (the magic session)</t>
  </si>
  <si>
    <t xml:space="preserve">John's 'best bang for buck' session. Rewires a hip-flexor 'shuffle' into a glute-driven stride. Improves running economy, power, stride length. THIS is what unlocks the later speed.</t>
  </si>
  <si>
    <t xml:space="preserve">The hill</t>
  </si>
  <si>
    <t xml:space="preserve">Shallow — about 5 degrees (a motorway flyover works). Steeper only if you're under ~30 and injury-free. Over 35: shallow, always.</t>
  </si>
  <si>
    <t xml:space="preserve">The rep</t>
  </si>
  <si>
    <t xml:space="preserve">8 seconds, ~95-98% effort but controlled — NOT an all-out sprint. Find a fixed landmark = your 8-sec mark, forever.</t>
  </si>
  <si>
    <t xml:space="preserve">Recovery</t>
  </si>
  <si>
    <t xml:space="preserve">2 min 30 WALK between reps. Long recovery is deliberate: the CP (creatine-phosphate) energy system takes ~2:30 to replenish. Don't jog it — walk.</t>
  </si>
  <si>
    <t xml:space="preserve">Reps</t>
  </si>
  <si>
    <t xml:space="preserve">Start 4, then 6, then hold at 8. WU 20-30 min + drills (high knees, straight-leg march) first.</t>
  </si>
  <si>
    <t xml:space="preserve">The mantra</t>
  </si>
  <si>
    <t xml:space="preserve">'TALL — RELAXED — PISTON — POP POP POP.' Tall = perpendicular to the hill (engages glutes). Relaxed = breathe, don't tense. Piston = arms drive back, hand brushes hip, elbow to ~shoulder height behind you (this opens the stride). Pop = feet pop off like hot coals.</t>
  </si>
  <si>
    <t xml:space="preserve">Feel check</t>
  </si>
  <si>
    <t xml:space="preserve">It should feel awkward — 'like riding a bicycle up the hill,' heels coming up under the butt automatically. That awkwardness means it's working. Film yourself from the side to check.</t>
  </si>
  <si>
    <t xml:space="preserve">Skip if</t>
  </si>
  <si>
    <t xml:space="preserve">Achilles/calf injury history — hill blasts load these. Keep aerobic strides only in that case.</t>
  </si>
  <si>
    <t xml:space="preserve">Aerobic Strides (John Kellogg style)</t>
  </si>
  <si>
    <t xml:space="preserve">Neuromuscular / economy work that pairs synergistically with the hill blasts. 'Aerobic' is a misnomer (all energy systems fire) — named for the generous recovery.</t>
  </si>
  <si>
    <t xml:space="preserve">20s (building to 30s, then 40s) at roughly 5K effort. To a landmark, stop, turn, jog back. Relaxed, not strained.</t>
  </si>
  <si>
    <t xml:space="preserve">3 sets of 5 reps, 3 min jog between sets. Weeks 1-3: grow rep 20&gt;30&gt;40s. Week 4+: hold 3x5x40s, then add a 2&gt;3&gt;4&gt;5 min continuous block at 5K effort at the end.</t>
  </si>
  <si>
    <t xml:space="preserve">By the 5-min add-on, you'll likely be running FASTER than your first 20s stride felt — because the hill blasts have improved your economy. That transfer is the whole point.</t>
  </si>
  <si>
    <t xml:space="preserve">Turning it into a hard interval session early. Cutting the recovery. Sprinting the reps.</t>
  </si>
  <si>
    <t xml:space="preserve">Drills (before hill blasts)</t>
  </si>
  <si>
    <t xml:space="preserve">Break the stride down and wake up the neural pathways ('brain talking to the butt') before hill blasts.</t>
  </si>
  <si>
    <t xml:space="preserve">Examples</t>
  </si>
  <si>
    <t xml:space="preserve">High knees ~20 m, then jog back; straight-leg marching ~20 m, then jog back. Optionally a 20 m stride after each to reinforce.</t>
  </si>
  <si>
    <t xml:space="preserve">When</t>
  </si>
  <si>
    <t xml:space="preserve">As part of the hill-blast warm-up only. Not a standalone session.</t>
  </si>
  <si>
    <t xml:space="preserve">Rest / Cross-train</t>
  </si>
  <si>
    <t xml:space="preserve">Recovery IS training — adaptation happens between runs, not during them. Three rest days a week is engineering, not laziness.</t>
  </si>
  <si>
    <t xml:space="preserve">Options</t>
  </si>
  <si>
    <t xml:space="preserve">Full rest, an easy walk, or low-impact cross-training (easy bike/swim) if you want movement without pounding.</t>
  </si>
  <si>
    <t xml:space="preserve">Rule</t>
  </si>
  <si>
    <t xml:space="preserve">Never turn a rest day into a secret run. If you feel great, that's the plan working — bank it, don't spend it.</t>
  </si>
  <si>
    <t xml:space="preserve">Paces &amp; Effort</t>
  </si>
  <si>
    <t xml:space="preserve">This block has almost no pace targets — on purpose. It is run by FEEL.</t>
  </si>
  <si>
    <t xml:space="preserve">Effort guide</t>
  </si>
  <si>
    <t xml:space="preserve">Easy / Long run</t>
  </si>
  <si>
    <t xml:space="preserve">Conversational. You can speak in full sentences. Nose-breathing when possible. Most people run this too fast.</t>
  </si>
  <si>
    <t xml:space="preserve">Aerobic strides</t>
  </si>
  <si>
    <t xml:space="preserve">'Roughly 5K effort' — controlled and quick, not a sprint. Doesn't need to be exact.</t>
  </si>
  <si>
    <t xml:space="preserve">Hill blasts</t>
  </si>
  <si>
    <t xml:space="preserve">~95-98% effort but FORM-controlled. Fast, fluent, relaxed — never straining/eyeballs-out.</t>
  </si>
  <si>
    <t xml:space="preserve">Everything else</t>
  </si>
  <si>
    <t xml:space="preserve">Rest or easy. There is no tempo, threshold, or interval pacing in this block. Those come in the Super Base.</t>
  </si>
  <si>
    <t xml:space="preserve">Why no pace table?</t>
  </si>
  <si>
    <t xml:space="preserve">John coaches beginners to run by feel and 'understand their body' — that's an explicit goal of the Foundation stage, not an afterthought.</t>
  </si>
  <si>
    <t xml:space="preserve">Prescribing paces to a shuffler just makes them shuffle faster and get injured. Form and feel come first; pace takes care of itself later.</t>
  </si>
  <si>
    <t xml:space="preserve">You WILL see easy-run pace drift faster at the same effort as economy improves. Let it happen — don't chase it.</t>
  </si>
  <si>
    <t xml:space="preserve">When you reach the Super Base workbook, that's where a pace anchor (T pace) gets introduced.</t>
  </si>
  <si>
    <t xml:space="preserve">Coach Philosophy — this stage</t>
  </si>
  <si>
    <t xml:space="preserve">Grounded in John Starrett's 'The Stablemaster Speaks'. Sources cited so you can verify.</t>
  </si>
  <si>
    <t xml:space="preserve">Principle</t>
  </si>
  <si>
    <t xml:space="preserve">What it means (+ source)</t>
  </si>
  <si>
    <t xml:space="preserve">1. You are a 'shuffler' first.</t>
  </si>
  <si>
    <t xml:space="preserve">Newer/slower runners are hip-flexor and quad dominant with a shuffly stride, which loads the calves/Achilles/knees and causes injury. Fixing this comes before anything else. (Ep. 049 'The Method Behind the Madness', ~'you're a shuffler'; YouTube 'Coaching Beginners to Olympians', 'hip flex dominant ... shuffly stride'.)</t>
  </si>
  <si>
    <t xml:space="preserve">2. Too much too soon = injury.</t>
  </si>
  <si>
    <t xml:space="preserve">Beginners get medial tibial stress syndrome / shin splints from running too fast, too far, or in the wrong shoes. Foundation exists to prevent exactly this. (YouTube interview, 'The Foundation phase' section; Ep. 044.)</t>
  </si>
  <si>
    <t xml:space="preserve">3. Foundation target: 3x65 + 1x90 easy.</t>
  </si>
  <si>
    <t xml:space="preserve">'They need to be able to run 90 minutes easy and 3x65 easy' before moving on. No tempo, no speed. (Ep. 044 'Stazza's Stable Masterclass', ~line 17870-17871; YouTube interview.)</t>
  </si>
  <si>
    <t xml:space="preserve">4. Progress 5-10 min/week, by feel.</t>
  </si>
  <si>
    <t xml:space="preserve">'They would progress maybe five or 10 minutes each week depending on their injury history, their age, and their background and what time they have available.' Repeat weeks freely. (YouTube interview, Foundation section.)</t>
  </si>
  <si>
    <t xml:space="preserve">5. Start de-conditioned runners very low.</t>
  </si>
  <si>
    <t xml:space="preserve">John started one runner (Akash) at 35-min easy runs while managing medial tibial stress, then built up. (Ep. 044, ~line 21878-21879.)</t>
  </si>
  <si>
    <t xml:space="preserve">6. Slower runners get an ELONGATED block.</t>
  </si>
  <si>
    <t xml:space="preserve">'It's definitely going to need to be an elongated pre super base ... rather than going through the seven weeks it normally takes.' Time is on your side. (Ep. 051 'Zeus Spoke I Listened', ~line 27380-27381.)</t>
  </si>
  <si>
    <t xml:space="preserve">7. Four runs beats three.</t>
  </si>
  <si>
    <t xml:space="preserve">'If somebody's running three times a week, I generally give them a little nudge ... there's an advantage to [four].' Three tends to maintain; four lets you progress with manageable injury risk. (YouTube interview.)</t>
  </si>
  <si>
    <t xml:space="preserve">8. Pre-Super Base = rewire the stride.</t>
  </si>
  <si>
    <t xml:space="preserve">Goal: change from hip-flexor dominant to glute dominant, increasing hip extension, power and stride length — done automatically through running, NOT through gym strength work. (Ep. 044 ~17872; Ep. 049 ~25926-25929; YouTube interview 'Pre-Super Base'.)</t>
  </si>
  <si>
    <t xml:space="preserve">9. Hill blasts are the best bang for buck.</t>
  </si>
  <si>
    <t xml:space="preserve">8-sec blasts, shallow hill, 2:30 walk recovery (CP energy system), mantra 'tall/relaxed/piston/pop'. Reps 4&gt;6&gt;8. Improves running economy — 'the marathon's mainly about running economy'. (Ep. 044 ~17877-17939; Ep. 049 ~25958-26021; YouTube interview 'Hill blasts explained'.)</t>
  </si>
  <si>
    <t xml:space="preserve">10. Aerobic strides pair with hill blasts.</t>
  </si>
  <si>
    <t xml:space="preserve">3x5x20s&gt;30s&gt;40s at ~5K effort, generous recovery; then a 2&gt;3&gt;4&gt;5 min add-on. The two sessions work synergistically; economy gains transfer into easy running. (Ep. 044 ~17914-17945; Ep. 049 ~25932-25957; YouTube 'Aerobic strides progression'.)</t>
  </si>
  <si>
    <t xml:space="preserve">11. Long run stays at 90 min here.</t>
  </si>
  <si>
    <t xml:space="preserve">'Just 90 minutes easy. There's no tempo in it. It doesn't go any longer than that.' It only starts carrying work in the Super Base. (YouTube interview, ~line 28193-28195.)</t>
  </si>
  <si>
    <t xml:space="preserve">12. Recovery is training; keep the week clean.</t>
  </si>
  <si>
    <t xml:space="preserve">One key focus per run, lots of rest. No gym leg work stacked on top (it's a workout too and blocks recovery). 'Too much mess in the weekly buildup — it needs to be clean and simple.' (YouTube interview, 'Why most runners plateau'.)</t>
  </si>
  <si>
    <t xml:space="preserve">13. Whole on-ramp ≈ part of a ~6-month arc.</t>
  </si>
  <si>
    <t xml:space="preserve">Foundation + Pre-Super Base + Super Base together take roughly six months before the first benchmark race. (Ep. 044, ~line 17958.)</t>
  </si>
  <si>
    <t xml:space="preserve">Note on sourcing</t>
  </si>
  <si>
    <t xml:space="preserve">Auto-transcribed audio: John's surname appears as 'Stewart/Starrett', paces are given in min/km in some episodes (converted here where noted), and line numbers reference the compiled transcript file. This tab = what John actually says. The Calendar's expanded durations (10+8 wks) are a reasonable extrapolation of his 'elongated for slower runners' guidance, not a fixed program he published.</t>
  </si>
  <si>
    <t xml:space="preserve">One row per day. Dates derive from the Start Date. Mark Status — the Dashboard updates.</t>
  </si>
  <si>
    <t xml:space="preserve">Date</t>
  </si>
  <si>
    <t xml:space="preserve">Day</t>
  </si>
  <si>
    <t xml:space="preserve">Planned run</t>
  </si>
  <si>
    <t xml:space="preserve">Status</t>
  </si>
  <si>
    <t xml:space="preserve">Actual min</t>
  </si>
  <si>
    <t xml:space="preserve">Felt (1-10)</t>
  </si>
  <si>
    <t xml:space="preserve">Notes</t>
  </si>
  <si>
    <t xml:space="preserve">Wed</t>
  </si>
  <si>
    <t xml:space="preserve">Sat</t>
  </si>
  <si>
    <t xml:space="preserve">Legend:</t>
  </si>
  <si>
    <t xml:space="preserve">Yellow cells (Status / Actual min / Felt / Notes) are yours to fill in as you go. Status feeds the Dashboard.</t>
  </si>
</sst>
</file>

<file path=xl/styles.xml><?xml version="1.0" encoding="utf-8"?>
<styleSheet xmlns="http://schemas.openxmlformats.org/spreadsheetml/2006/main">
  <numFmts count="5">
    <numFmt numFmtId="164" formatCode="General"/>
    <numFmt numFmtId="165" formatCode="ddd&quot;, &quot;mmm\ d&quot;, &quot;yyyy"/>
    <numFmt numFmtId="166" formatCode="General"/>
    <numFmt numFmtId="167" formatCode="0%"/>
    <numFmt numFmtId="168" formatCode="ddd&quot;, &quot;mmm\ d"/>
  </numFmts>
  <fonts count="12">
    <font>
      <sz val="11"/>
      <color theme="1"/>
      <name val="Calibri"/>
      <family val="2"/>
      <charset val="1"/>
    </font>
    <font>
      <sz val="10"/>
      <name val="Arial"/>
      <family val="0"/>
    </font>
    <font>
      <sz val="10"/>
      <name val="Arial"/>
      <family val="0"/>
    </font>
    <font>
      <sz val="10"/>
      <name val="Arial"/>
      <family val="0"/>
    </font>
    <font>
      <b val="true"/>
      <sz val="20"/>
      <color rgb="FF1F3A5F"/>
      <name val="Calibri"/>
      <family val="0"/>
      <charset val="1"/>
    </font>
    <font>
      <sz val="10"/>
      <color rgb="FF616161"/>
      <name val="Calibri"/>
      <family val="0"/>
      <charset val="1"/>
    </font>
    <font>
      <b val="true"/>
      <sz val="11"/>
      <color rgb="FF000000"/>
      <name val="Calibri"/>
      <family val="0"/>
      <charset val="1"/>
    </font>
    <font>
      <sz val="11"/>
      <color rgb="FF000000"/>
      <name val="Calibri"/>
      <family val="0"/>
      <charset val="1"/>
    </font>
    <font>
      <b val="true"/>
      <sz val="11"/>
      <color rgb="FF616161"/>
      <name val="Calibri"/>
      <family val="0"/>
      <charset val="1"/>
    </font>
    <font>
      <sz val="10"/>
      <color rgb="FF000000"/>
      <name val="Calibri"/>
      <family val="0"/>
      <charset val="1"/>
    </font>
    <font>
      <b val="true"/>
      <sz val="11"/>
      <color rgb="FFFFFFFF"/>
      <name val="Calibri"/>
      <family val="0"/>
      <charset val="1"/>
    </font>
    <font>
      <b val="true"/>
      <sz val="22"/>
      <color rgb="FF1F3A5F"/>
      <name val="Calibri"/>
      <family val="0"/>
      <charset val="1"/>
    </font>
  </fonts>
  <fills count="6">
    <fill>
      <patternFill patternType="none"/>
    </fill>
    <fill>
      <patternFill patternType="gray125"/>
    </fill>
    <fill>
      <patternFill patternType="solid">
        <fgColor rgb="FFF5F5F5"/>
        <bgColor rgb="FFEAEDED"/>
      </patternFill>
    </fill>
    <fill>
      <patternFill patternType="solid">
        <fgColor rgb="FFEAEDED"/>
        <bgColor rgb="FFF5F5F5"/>
      </patternFill>
    </fill>
    <fill>
      <patternFill patternType="solid">
        <fgColor rgb="FF1F3A5F"/>
        <bgColor rgb="FF333333"/>
      </patternFill>
    </fill>
    <fill>
      <patternFill patternType="solid">
        <fgColor rgb="FFFFF2A8"/>
        <bgColor rgb="FFEAEDED"/>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6" fillId="5"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7" fontId="11" fillId="0" borderId="0"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8" fontId="7"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8" fontId="7"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EAEDE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16161"/>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20"/>
    <col collapsed="false" customWidth="true" hidden="false" outlineLevel="0" max="4" min="4" style="0" width="22"/>
    <col collapsed="false" customWidth="true" hidden="false" outlineLevel="0" max="5" min="5" style="0" width="4"/>
    <col collapsed="false" customWidth="true" hidden="false" outlineLevel="0" max="6" min="6" style="0" width="24"/>
    <col collapsed="false" customWidth="true" hidden="false" outlineLevel="0" max="7" min="7" style="0" width="14"/>
    <col collapsed="false" customWidth="true" hidden="false" outlineLevel="0" max="8" min="8" style="0" width="2"/>
  </cols>
  <sheetData>
    <row r="2" customFormat="false" ht="24.4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F5" s="3" t="s">
        <v>3</v>
      </c>
    </row>
    <row r="6" customFormat="false" ht="15" hidden="false" customHeight="true" outlineLevel="0" collapsed="false">
      <c r="B6" s="4" t="s">
        <v>4</v>
      </c>
      <c r="C6" s="5" t="s">
        <v>5</v>
      </c>
      <c r="D6" s="5"/>
      <c r="F6" s="6" t="s">
        <v>6</v>
      </c>
      <c r="G6" s="7" t="s">
        <v>7</v>
      </c>
    </row>
    <row r="7" customFormat="false" ht="15" hidden="false" customHeight="true" outlineLevel="0" collapsed="false">
      <c r="B7" s="4" t="s">
        <v>8</v>
      </c>
      <c r="C7" s="5" t="s">
        <v>9</v>
      </c>
      <c r="D7" s="5"/>
      <c r="F7" s="6" t="s">
        <v>10</v>
      </c>
      <c r="G7" s="7" t="s">
        <v>7</v>
      </c>
    </row>
    <row r="8" customFormat="false" ht="15" hidden="false" customHeight="true" outlineLevel="0" collapsed="false">
      <c r="B8" s="4" t="s">
        <v>11</v>
      </c>
      <c r="C8" s="5" t="s">
        <v>12</v>
      </c>
      <c r="D8" s="5"/>
      <c r="F8" s="6" t="s">
        <v>13</v>
      </c>
      <c r="G8" s="7" t="s">
        <v>7</v>
      </c>
    </row>
    <row r="9" customFormat="false" ht="28.35" hidden="false" customHeight="true" outlineLevel="0" collapsed="false">
      <c r="B9" s="4" t="s">
        <v>14</v>
      </c>
      <c r="C9" s="5" t="s">
        <v>15</v>
      </c>
      <c r="D9" s="5"/>
      <c r="F9" s="6" t="s">
        <v>16</v>
      </c>
      <c r="G9" s="7" t="s">
        <v>17</v>
      </c>
    </row>
    <row r="10" customFormat="false" ht="15" hidden="false" customHeight="true" outlineLevel="0" collapsed="false">
      <c r="B10" s="4" t="s">
        <v>18</v>
      </c>
      <c r="C10" s="5" t="s">
        <v>19</v>
      </c>
      <c r="D10" s="5"/>
      <c r="F10" s="6" t="s">
        <v>20</v>
      </c>
      <c r="G10" s="7" t="s">
        <v>21</v>
      </c>
    </row>
    <row r="11" customFormat="false" ht="28.35" hidden="false" customHeight="true" outlineLevel="0" collapsed="false">
      <c r="B11" s="4" t="s">
        <v>22</v>
      </c>
      <c r="C11" s="5" t="s">
        <v>23</v>
      </c>
      <c r="D11" s="5"/>
      <c r="F11" s="6" t="s">
        <v>24</v>
      </c>
      <c r="G11" s="7" t="s">
        <v>21</v>
      </c>
    </row>
    <row r="12" customFormat="false" ht="28.35" hidden="false" customHeight="true" outlineLevel="0" collapsed="false">
      <c r="B12" s="4" t="s">
        <v>25</v>
      </c>
      <c r="C12" s="5" t="s">
        <v>26</v>
      </c>
      <c r="D12" s="5"/>
    </row>
    <row r="14" customFormat="false" ht="15" hidden="false" customHeight="false" outlineLevel="0" collapsed="false">
      <c r="B14" s="3" t="s">
        <v>27</v>
      </c>
    </row>
    <row r="15" customFormat="false" ht="15" hidden="false" customHeight="true" outlineLevel="0" collapsed="false">
      <c r="B15" s="8" t="s">
        <v>28</v>
      </c>
      <c r="C15" s="8"/>
      <c r="D15" s="8"/>
      <c r="E15" s="8"/>
      <c r="F15" s="8"/>
      <c r="G15" s="8"/>
    </row>
    <row r="16" customFormat="false" ht="15" hidden="false" customHeight="true" outlineLevel="0" collapsed="false">
      <c r="B16" s="8" t="s">
        <v>29</v>
      </c>
      <c r="C16" s="8"/>
      <c r="D16" s="8"/>
      <c r="E16" s="8"/>
      <c r="F16" s="8"/>
      <c r="G16" s="8"/>
    </row>
    <row r="17" customFormat="false" ht="15" hidden="false" customHeight="true" outlineLevel="0" collapsed="false">
      <c r="B17" s="8" t="s">
        <v>30</v>
      </c>
      <c r="C17" s="8"/>
      <c r="D17" s="8"/>
      <c r="E17" s="8"/>
      <c r="F17" s="8"/>
      <c r="G17" s="8"/>
    </row>
    <row r="18" customFormat="false" ht="15" hidden="false" customHeight="true" outlineLevel="0" collapsed="false">
      <c r="B18" s="8" t="s">
        <v>31</v>
      </c>
      <c r="C18" s="8"/>
      <c r="D18" s="8"/>
      <c r="E18" s="8"/>
      <c r="F18" s="8"/>
      <c r="G18" s="8"/>
    </row>
    <row r="19" customFormat="false" ht="15" hidden="false" customHeight="true" outlineLevel="0" collapsed="false">
      <c r="B19" s="8" t="s">
        <v>32</v>
      </c>
      <c r="C19" s="8"/>
      <c r="D19" s="8"/>
      <c r="E19" s="8"/>
      <c r="F19" s="8"/>
      <c r="G19" s="8"/>
    </row>
    <row r="20" customFormat="false" ht="15" hidden="false" customHeight="true" outlineLevel="0" collapsed="false">
      <c r="B20" s="8" t="s">
        <v>33</v>
      </c>
      <c r="C20" s="8"/>
      <c r="D20" s="8"/>
      <c r="E20" s="8"/>
      <c r="F20" s="8"/>
      <c r="G20" s="8"/>
    </row>
    <row r="21" customFormat="false" ht="15" hidden="false" customHeight="true" outlineLevel="0" collapsed="false">
      <c r="B21" s="8" t="s">
        <v>34</v>
      </c>
      <c r="C21" s="8"/>
      <c r="D21" s="8"/>
      <c r="E21" s="8"/>
      <c r="F21" s="8"/>
      <c r="G21" s="8"/>
    </row>
    <row r="23" customFormat="false" ht="15" hidden="false" customHeight="false" outlineLevel="0" collapsed="false">
      <c r="B23" s="3" t="s">
        <v>35</v>
      </c>
    </row>
    <row r="24" customFormat="false" ht="15" hidden="false" customHeight="false" outlineLevel="0" collapsed="false">
      <c r="B24" s="9" t="s">
        <v>36</v>
      </c>
      <c r="C24" s="2" t="s">
        <v>37</v>
      </c>
      <c r="D24" s="9" t="s">
        <v>38</v>
      </c>
      <c r="E24" s="2" t="s">
        <v>37</v>
      </c>
      <c r="F24" s="9" t="s">
        <v>39</v>
      </c>
      <c r="G24" s="2" t="s">
        <v>37</v>
      </c>
    </row>
    <row r="25" customFormat="false" ht="15" hidden="false" customHeight="false" outlineLevel="0" collapsed="false">
      <c r="B25" s="9" t="s">
        <v>40</v>
      </c>
      <c r="C25" s="2" t="s">
        <v>37</v>
      </c>
      <c r="D25" s="9" t="s">
        <v>41</v>
      </c>
      <c r="E25" s="2" t="s">
        <v>37</v>
      </c>
      <c r="F25" s="9" t="s">
        <v>42</v>
      </c>
      <c r="G25" s="2" t="s">
        <v>37</v>
      </c>
    </row>
    <row r="26" customFormat="false" ht="15" hidden="false" customHeight="false" outlineLevel="0" collapsed="false">
      <c r="B26" s="9" t="s">
        <v>43</v>
      </c>
      <c r="C26" s="2" t="s">
        <v>37</v>
      </c>
    </row>
  </sheetData>
  <mergeCells count="14">
    <mergeCell ref="C6:D6"/>
    <mergeCell ref="C7:D7"/>
    <mergeCell ref="C8:D8"/>
    <mergeCell ref="C9:D9"/>
    <mergeCell ref="C10:D10"/>
    <mergeCell ref="C11:D11"/>
    <mergeCell ref="C12:D12"/>
    <mergeCell ref="B15:G15"/>
    <mergeCell ref="B16:G16"/>
    <mergeCell ref="B17:G17"/>
    <mergeCell ref="B18:G18"/>
    <mergeCell ref="B19:G19"/>
    <mergeCell ref="B20:G20"/>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4"/>
    <col collapsed="false" customWidth="true" hidden="false" outlineLevel="0" max="4" min="4" style="0" width="2"/>
    <col collapsed="false" customWidth="true" hidden="false" outlineLevel="0" max="5" min="5" style="0" width="62"/>
  </cols>
  <sheetData>
    <row r="2" customFormat="false" ht="24.45" hidden="false" customHeight="false" outlineLevel="0" collapsed="false">
      <c r="B2" s="1" t="s">
        <v>36</v>
      </c>
    </row>
    <row r="3" customFormat="false" ht="15" hidden="false" customHeight="false" outlineLevel="0" collapsed="false">
      <c r="B3" s="2" t="s">
        <v>44</v>
      </c>
    </row>
    <row r="5" customFormat="false" ht="15" hidden="false" customHeight="false" outlineLevel="0" collapsed="false">
      <c r="B5" s="10" t="s">
        <v>45</v>
      </c>
      <c r="E5" s="10" t="s">
        <v>46</v>
      </c>
    </row>
    <row r="6" customFormat="false" ht="15" hidden="false" customHeight="false" outlineLevel="0" collapsed="false">
      <c r="B6" s="4" t="s">
        <v>47</v>
      </c>
      <c r="C6" s="11" t="s">
        <v>48</v>
      </c>
      <c r="E6" s="12" t="s">
        <v>49</v>
      </c>
    </row>
    <row r="7" customFormat="false" ht="15" hidden="false" customHeight="false" outlineLevel="0" collapsed="false">
      <c r="E7" s="12" t="s">
        <v>50</v>
      </c>
    </row>
    <row r="8" customFormat="false" ht="15" hidden="false" customHeight="false" outlineLevel="0" collapsed="false">
      <c r="B8" s="10" t="s">
        <v>51</v>
      </c>
      <c r="E8" s="12" t="s">
        <v>52</v>
      </c>
    </row>
    <row r="9" customFormat="false" ht="23.85" hidden="false" customHeight="false" outlineLevel="0" collapsed="false">
      <c r="B9" s="4" t="s">
        <v>53</v>
      </c>
      <c r="C9" s="11" t="s">
        <v>54</v>
      </c>
      <c r="E9" s="12" t="s">
        <v>55</v>
      </c>
    </row>
    <row r="10" customFormat="false" ht="15" hidden="false" customHeight="true" outlineLevel="0" collapsed="false">
      <c r="B10" s="4" t="s">
        <v>56</v>
      </c>
      <c r="C10" s="5" t="s">
        <v>57</v>
      </c>
      <c r="E10" s="12" t="s">
        <v>58</v>
      </c>
    </row>
    <row r="11" customFormat="false" ht="15" hidden="false" customHeight="false" outlineLevel="0" collapsed="false">
      <c r="C11" s="5"/>
      <c r="E11" s="12" t="s">
        <v>59</v>
      </c>
    </row>
    <row r="12" customFormat="false" ht="23.85" hidden="false" customHeight="false" outlineLevel="0" collapsed="false">
      <c r="C12" s="5"/>
      <c r="E12" s="12" t="s">
        <v>60</v>
      </c>
    </row>
    <row r="14" customFormat="false" ht="15" hidden="false" customHeight="false" outlineLevel="0" collapsed="false">
      <c r="B14" s="10" t="s">
        <v>61</v>
      </c>
    </row>
    <row r="15" customFormat="false" ht="15" hidden="false" customHeight="false" outlineLevel="0" collapsed="false">
      <c r="B15" s="4" t="s">
        <v>62</v>
      </c>
      <c r="C15" s="13" t="n">
        <v>46237</v>
      </c>
    </row>
    <row r="16" customFormat="false" ht="15" hidden="false" customHeight="false" outlineLevel="0" collapsed="false">
      <c r="B16" s="6" t="s">
        <v>63</v>
      </c>
      <c r="C16" s="14" t="n">
        <f aca="false">C15+139</f>
        <v>46376</v>
      </c>
    </row>
    <row r="18" customFormat="false" ht="15" hidden="false" customHeight="false" outlineLevel="0" collapsed="false">
      <c r="B18" s="10" t="s">
        <v>64</v>
      </c>
    </row>
    <row r="19" customFormat="false" ht="28.35" hidden="false" customHeight="false" outlineLevel="0" collapsed="false">
      <c r="B19" s="6" t="s">
        <v>65</v>
      </c>
      <c r="C19" s="15" t="s">
        <v>66</v>
      </c>
    </row>
    <row r="20" customFormat="false" ht="28.35" hidden="false" customHeight="false" outlineLevel="0" collapsed="false">
      <c r="B20" s="6" t="s">
        <v>67</v>
      </c>
      <c r="C20" s="15" t="s">
        <v>68</v>
      </c>
    </row>
    <row r="21" customFormat="false" ht="55.2" hidden="false" customHeight="false" outlineLevel="0" collapsed="false">
      <c r="B21" s="6" t="s">
        <v>10</v>
      </c>
      <c r="C21" s="15" t="s">
        <v>69</v>
      </c>
    </row>
    <row r="22" customFormat="false" ht="41.75" hidden="false" customHeight="false" outlineLevel="0" collapsed="false">
      <c r="B22" s="6" t="s">
        <v>13</v>
      </c>
      <c r="C22" s="15" t="s">
        <v>70</v>
      </c>
    </row>
    <row r="23" customFormat="false" ht="15" hidden="false" customHeight="false" outlineLevel="0" collapsed="false">
      <c r="B23" s="6" t="s">
        <v>71</v>
      </c>
      <c r="C23" s="15" t="s">
        <v>72</v>
      </c>
    </row>
    <row r="24" customFormat="false" ht="28.35" hidden="false" customHeight="false" outlineLevel="0" collapsed="false">
      <c r="B24" s="6" t="s">
        <v>73</v>
      </c>
      <c r="C24" s="15" t="s">
        <v>74</v>
      </c>
    </row>
    <row r="26" customFormat="false" ht="15" hidden="false" customHeight="true" outlineLevel="0" collapsed="false">
      <c r="B26" s="3" t="s">
        <v>75</v>
      </c>
      <c r="C26" s="16" t="s">
        <v>76</v>
      </c>
    </row>
    <row r="27" customFormat="false" ht="15" hidden="false" customHeight="false" outlineLevel="0" collapsed="false">
      <c r="C27" s="16"/>
    </row>
    <row r="28" customFormat="false" ht="15" hidden="false" customHeight="false" outlineLevel="0" collapsed="false">
      <c r="C28" s="16"/>
    </row>
  </sheetData>
  <mergeCells count="2">
    <mergeCell ref="C10:C12"/>
    <mergeCell ref="C26: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22"/>
    <col collapsed="false" customWidth="true" hidden="false" outlineLevel="0" max="4" min="4" style="0" width="4"/>
    <col collapsed="false" customWidth="true" hidden="false" outlineLevel="0" max="6" min="5" style="0" width="22"/>
  </cols>
  <sheetData>
    <row r="2" customFormat="false" ht="24.45" hidden="false" customHeight="false" outlineLevel="0" collapsed="false">
      <c r="B2" s="1" t="s">
        <v>38</v>
      </c>
    </row>
    <row r="3" customFormat="false" ht="15" hidden="false" customHeight="false" outlineLevel="0" collapsed="false">
      <c r="B3" s="2" t="s">
        <v>77</v>
      </c>
    </row>
    <row r="5" customFormat="false" ht="15" hidden="false" customHeight="false" outlineLevel="0" collapsed="false">
      <c r="B5" s="10" t="s">
        <v>78</v>
      </c>
      <c r="E5" s="10" t="s">
        <v>79</v>
      </c>
    </row>
    <row r="6" customFormat="false" ht="26.8" hidden="false" customHeight="false" outlineLevel="0" collapsed="false">
      <c r="B6" s="17" t="n">
        <f aca="true">IF(TODAY()&lt;Inputs!$C$15,0,MIN(20,INT((TODAY()-Inputs!$C$15)/7)+1))</f>
        <v>0</v>
      </c>
      <c r="E6" s="18" t="str">
        <f aca="false">IF(B6=0,"Not started",INDEX('Progress Log'!$D$5:$D$1000,MATCH(B6,'Progress Log'!$C$5:$C$1000,0)))</f>
        <v>Not started</v>
      </c>
      <c r="F6" s="18"/>
    </row>
    <row r="8" customFormat="false" ht="15" hidden="false" customHeight="false" outlineLevel="0" collapsed="false">
      <c r="B8" s="10" t="s">
        <v>80</v>
      </c>
      <c r="E8" s="10" t="s">
        <v>81</v>
      </c>
    </row>
    <row r="9" customFormat="false" ht="26.8" hidden="false" customHeight="false" outlineLevel="0" collapsed="false">
      <c r="B9" s="17" t="n">
        <v>20</v>
      </c>
      <c r="E9" s="19" t="n">
        <f aca="false">IFERROR(COUNTIF('Progress Log'!$G$5:$G$1000,"Completed")/COUNTA('Progress Log'!$F$5:$F$1000),0)</f>
        <v>0</v>
      </c>
      <c r="F9" s="19"/>
    </row>
    <row r="11" customFormat="false" ht="15" hidden="false" customHeight="false" outlineLevel="0" collapsed="false">
      <c r="B11" s="10" t="s">
        <v>82</v>
      </c>
    </row>
    <row r="12" customFormat="false" ht="15" hidden="false" customHeight="false" outlineLevel="0" collapsed="false">
      <c r="B12" s="4" t="s">
        <v>83</v>
      </c>
      <c r="C12" s="20" t="str">
        <f aca="false">IFERROR(INDEX(Calendar!$F$4:$F$1000,MATCH($B$6,Calendar!$B$4:$B$1000,0)),"")</f>
        <v/>
      </c>
      <c r="D12" s="20"/>
      <c r="E12" s="20"/>
      <c r="F12" s="20"/>
    </row>
    <row r="13" customFormat="false" ht="15" hidden="false" customHeight="false" outlineLevel="0" collapsed="false">
      <c r="B13" s="4" t="s">
        <v>84</v>
      </c>
      <c r="C13" s="20" t="str">
        <f aca="false">IFERROR(INDEX(Calendar!$G$4:$G$1000,MATCH($B$6,Calendar!$B$4:$B$1000,0)),"")</f>
        <v/>
      </c>
      <c r="D13" s="20"/>
      <c r="E13" s="20"/>
      <c r="F13" s="20"/>
    </row>
    <row r="14" customFormat="false" ht="15" hidden="false" customHeight="false" outlineLevel="0" collapsed="false">
      <c r="B14" s="4" t="s">
        <v>85</v>
      </c>
      <c r="C14" s="20" t="str">
        <f aca="false">IFERROR(INDEX(Calendar!$I$4:$I$1000,MATCH($B$6,Calendar!$B$4:$B$1000,0)),"")</f>
        <v/>
      </c>
      <c r="D14" s="20"/>
      <c r="E14" s="20"/>
      <c r="F14" s="20"/>
    </row>
    <row r="15" customFormat="false" ht="15" hidden="false" customHeight="false" outlineLevel="0" collapsed="false">
      <c r="B15" s="4" t="s">
        <v>86</v>
      </c>
      <c r="C15" s="20" t="str">
        <f aca="false">IFERROR(INDEX(Calendar!$J$4:$J$1000,MATCH($B$6,Calendar!$B$4:$B$1000,0)),"")</f>
        <v/>
      </c>
      <c r="D15" s="20"/>
      <c r="E15" s="20"/>
      <c r="F15" s="20"/>
    </row>
    <row r="17" customFormat="false" ht="15" hidden="false" customHeight="false" outlineLevel="0" collapsed="false">
      <c r="B17" s="10" t="s">
        <v>87</v>
      </c>
    </row>
    <row r="18" customFormat="false" ht="15" hidden="false" customHeight="false" outlineLevel="0" collapsed="false">
      <c r="B18" s="4" t="s">
        <v>88</v>
      </c>
      <c r="C18" s="4" t="n">
        <f aca="false">COUNTIF('Progress Log'!$G$5:$G$1000,"Completed")</f>
        <v>0</v>
      </c>
    </row>
    <row r="19" customFormat="false" ht="15" hidden="false" customHeight="false" outlineLevel="0" collapsed="false">
      <c r="B19" s="4" t="s">
        <v>89</v>
      </c>
      <c r="C19" s="4" t="n">
        <f aca="false">COUNTIF('Progress Log'!$G$5:$G$1000,"Modified")</f>
        <v>0</v>
      </c>
    </row>
    <row r="20" customFormat="false" ht="15" hidden="false" customHeight="false" outlineLevel="0" collapsed="false">
      <c r="B20" s="4" t="s">
        <v>90</v>
      </c>
      <c r="C20" s="4" t="n">
        <f aca="false">COUNTIF('Progress Log'!$G$5:$G$1000,"Missed")</f>
        <v>0</v>
      </c>
    </row>
  </sheetData>
  <mergeCells count="6">
    <mergeCell ref="E6:F6"/>
    <mergeCell ref="E9:F9"/>
    <mergeCell ref="C12:F12"/>
    <mergeCell ref="C13:F13"/>
    <mergeCell ref="C14:F14"/>
    <mergeCell ref="C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14"/>
    <col collapsed="false" customWidth="true" hidden="false" outlineLevel="0" max="4" min="4" style="0" width="24"/>
    <col collapsed="false" customWidth="true" hidden="false" outlineLevel="0" max="6" min="5" style="0" width="18"/>
    <col collapsed="false" customWidth="true" hidden="false" outlineLevel="0" max="7" min="7" style="0" width="46"/>
    <col collapsed="false" customWidth="true" hidden="false" outlineLevel="0" max="8" min="8" style="0" width="18"/>
    <col collapsed="false" customWidth="true" hidden="false" outlineLevel="0" max="9" min="9" style="0" width="30"/>
    <col collapsed="false" customWidth="true" hidden="false" outlineLevel="0" max="10" min="10" style="0" width="48"/>
    <col collapsed="false" customWidth="true" hidden="false" outlineLevel="0" max="11" min="11" style="0" width="8"/>
    <col collapsed="false" customWidth="true" hidden="false" outlineLevel="0" max="12" min="12" style="0" width="52"/>
  </cols>
  <sheetData>
    <row r="2" customFormat="false" ht="24.45" hidden="false" customHeight="false" outlineLevel="0" collapsed="false">
      <c r="B2" s="21" t="s">
        <v>91</v>
      </c>
    </row>
    <row r="3" customFormat="false" ht="15" hidden="false" customHeight="false" outlineLevel="0" collapsed="false">
      <c r="B3" s="22" t="s">
        <v>92</v>
      </c>
      <c r="C3" s="22" t="s">
        <v>93</v>
      </c>
      <c r="D3" s="22" t="s">
        <v>94</v>
      </c>
      <c r="E3" s="22" t="s">
        <v>95</v>
      </c>
      <c r="F3" s="22" t="s">
        <v>83</v>
      </c>
      <c r="G3" s="22" t="s">
        <v>84</v>
      </c>
      <c r="H3" s="22" t="s">
        <v>96</v>
      </c>
      <c r="I3" s="22" t="s">
        <v>85</v>
      </c>
      <c r="J3" s="22" t="s">
        <v>97</v>
      </c>
      <c r="K3" s="22" t="s">
        <v>98</v>
      </c>
      <c r="L3" s="22" t="s">
        <v>99</v>
      </c>
    </row>
    <row r="4" customFormat="false" ht="35.05" hidden="false" customHeight="false" outlineLevel="0" collapsed="false">
      <c r="B4" s="23" t="n">
        <v>1</v>
      </c>
      <c r="C4" s="24" t="n">
        <f aca="false">Inputs!$C$15+0</f>
        <v>46237</v>
      </c>
      <c r="D4" s="25" t="s">
        <v>100</v>
      </c>
      <c r="E4" s="26" t="s">
        <v>101</v>
      </c>
      <c r="F4" s="26" t="s">
        <v>102</v>
      </c>
      <c r="G4" s="26" t="s">
        <v>103</v>
      </c>
      <c r="H4" s="26" t="s">
        <v>101</v>
      </c>
      <c r="I4" s="26" t="s">
        <v>103</v>
      </c>
      <c r="J4" s="26" t="s">
        <v>104</v>
      </c>
      <c r="K4" s="26" t="s">
        <v>105</v>
      </c>
      <c r="L4" s="26" t="s">
        <v>106</v>
      </c>
    </row>
    <row r="5" customFormat="false" ht="23.85" hidden="false" customHeight="false" outlineLevel="0" collapsed="false">
      <c r="B5" s="27" t="n">
        <v>2</v>
      </c>
      <c r="C5" s="28" t="n">
        <f aca="false">Inputs!$C$15+7</f>
        <v>46244</v>
      </c>
      <c r="D5" s="29" t="s">
        <v>107</v>
      </c>
      <c r="E5" s="30" t="s">
        <v>101</v>
      </c>
      <c r="F5" s="30" t="s">
        <v>108</v>
      </c>
      <c r="G5" s="30" t="s">
        <v>109</v>
      </c>
      <c r="H5" s="30" t="s">
        <v>101</v>
      </c>
      <c r="I5" s="30" t="s">
        <v>109</v>
      </c>
      <c r="J5" s="30" t="s">
        <v>110</v>
      </c>
      <c r="K5" s="30" t="s">
        <v>105</v>
      </c>
      <c r="L5" s="30" t="s">
        <v>111</v>
      </c>
    </row>
    <row r="6" customFormat="false" ht="23.85" hidden="false" customHeight="false" outlineLevel="0" collapsed="false">
      <c r="B6" s="23" t="n">
        <v>3</v>
      </c>
      <c r="C6" s="24" t="n">
        <f aca="false">Inputs!$C$15+14</f>
        <v>46251</v>
      </c>
      <c r="D6" s="25" t="s">
        <v>112</v>
      </c>
      <c r="E6" s="26" t="s">
        <v>113</v>
      </c>
      <c r="F6" s="26" t="s">
        <v>114</v>
      </c>
      <c r="G6" s="26" t="s">
        <v>114</v>
      </c>
      <c r="H6" s="26" t="s">
        <v>113</v>
      </c>
      <c r="I6" s="26" t="s">
        <v>114</v>
      </c>
      <c r="J6" s="26" t="s">
        <v>115</v>
      </c>
      <c r="K6" s="26" t="s">
        <v>105</v>
      </c>
      <c r="L6" s="26" t="s">
        <v>116</v>
      </c>
    </row>
    <row r="7" customFormat="false" ht="23.85" hidden="false" customHeight="false" outlineLevel="0" collapsed="false">
      <c r="B7" s="27" t="n">
        <v>4</v>
      </c>
      <c r="C7" s="28" t="n">
        <f aca="false">Inputs!$C$15+21</f>
        <v>46258</v>
      </c>
      <c r="D7" s="29" t="s">
        <v>117</v>
      </c>
      <c r="E7" s="30" t="s">
        <v>113</v>
      </c>
      <c r="F7" s="30" t="s">
        <v>118</v>
      </c>
      <c r="G7" s="30" t="s">
        <v>118</v>
      </c>
      <c r="H7" s="30" t="s">
        <v>113</v>
      </c>
      <c r="I7" s="30" t="s">
        <v>118</v>
      </c>
      <c r="J7" s="30" t="s">
        <v>119</v>
      </c>
      <c r="K7" s="30" t="s">
        <v>105</v>
      </c>
      <c r="L7" s="30" t="s">
        <v>120</v>
      </c>
    </row>
    <row r="8" customFormat="false" ht="23.85" hidden="false" customHeight="false" outlineLevel="0" collapsed="false">
      <c r="B8" s="23" t="n">
        <v>5</v>
      </c>
      <c r="C8" s="24" t="n">
        <f aca="false">Inputs!$C$15+28</f>
        <v>46265</v>
      </c>
      <c r="D8" s="25" t="s">
        <v>121</v>
      </c>
      <c r="E8" s="26" t="s">
        <v>113</v>
      </c>
      <c r="F8" s="26" t="s">
        <v>122</v>
      </c>
      <c r="G8" s="26" t="s">
        <v>118</v>
      </c>
      <c r="H8" s="26" t="s">
        <v>113</v>
      </c>
      <c r="I8" s="26" t="s">
        <v>122</v>
      </c>
      <c r="J8" s="26" t="s">
        <v>123</v>
      </c>
      <c r="K8" s="26" t="s">
        <v>105</v>
      </c>
      <c r="L8" s="26" t="s">
        <v>124</v>
      </c>
    </row>
    <row r="9" customFormat="false" ht="23.85" hidden="false" customHeight="false" outlineLevel="0" collapsed="false">
      <c r="B9" s="27" t="n">
        <v>6</v>
      </c>
      <c r="C9" s="28" t="n">
        <f aca="false">Inputs!$C$15+35</f>
        <v>46272</v>
      </c>
      <c r="D9" s="29" t="s">
        <v>125</v>
      </c>
      <c r="E9" s="30" t="s">
        <v>113</v>
      </c>
      <c r="F9" s="30" t="s">
        <v>126</v>
      </c>
      <c r="G9" s="30" t="s">
        <v>122</v>
      </c>
      <c r="H9" s="30" t="s">
        <v>113</v>
      </c>
      <c r="I9" s="30" t="s">
        <v>126</v>
      </c>
      <c r="J9" s="30" t="s">
        <v>127</v>
      </c>
      <c r="K9" s="30" t="s">
        <v>105</v>
      </c>
      <c r="L9" s="30" t="s">
        <v>128</v>
      </c>
    </row>
    <row r="10" customFormat="false" ht="23.85" hidden="false" customHeight="false" outlineLevel="0" collapsed="false">
      <c r="B10" s="23" t="n">
        <v>7</v>
      </c>
      <c r="C10" s="24" t="n">
        <f aca="false">Inputs!$C$15+42</f>
        <v>46279</v>
      </c>
      <c r="D10" s="25" t="s">
        <v>129</v>
      </c>
      <c r="E10" s="26" t="s">
        <v>113</v>
      </c>
      <c r="F10" s="26" t="s">
        <v>130</v>
      </c>
      <c r="G10" s="26" t="s">
        <v>126</v>
      </c>
      <c r="H10" s="26" t="s">
        <v>113</v>
      </c>
      <c r="I10" s="26" t="s">
        <v>130</v>
      </c>
      <c r="J10" s="26" t="s">
        <v>131</v>
      </c>
      <c r="K10" s="26" t="s">
        <v>105</v>
      </c>
      <c r="L10" s="26" t="s">
        <v>132</v>
      </c>
    </row>
    <row r="11" customFormat="false" ht="23.85" hidden="false" customHeight="false" outlineLevel="0" collapsed="false">
      <c r="B11" s="27" t="n">
        <v>8</v>
      </c>
      <c r="C11" s="28" t="n">
        <f aca="false">Inputs!$C$15+49</f>
        <v>46286</v>
      </c>
      <c r="D11" s="29" t="s">
        <v>133</v>
      </c>
      <c r="E11" s="30" t="s">
        <v>113</v>
      </c>
      <c r="F11" s="30" t="s">
        <v>134</v>
      </c>
      <c r="G11" s="30" t="s">
        <v>130</v>
      </c>
      <c r="H11" s="30" t="s">
        <v>113</v>
      </c>
      <c r="I11" s="30" t="s">
        <v>134</v>
      </c>
      <c r="J11" s="30" t="s">
        <v>135</v>
      </c>
      <c r="K11" s="30" t="s">
        <v>105</v>
      </c>
      <c r="L11" s="30" t="s">
        <v>136</v>
      </c>
    </row>
    <row r="12" customFormat="false" ht="23.85" hidden="false" customHeight="false" outlineLevel="0" collapsed="false">
      <c r="B12" s="23" t="n">
        <v>9</v>
      </c>
      <c r="C12" s="24" t="n">
        <f aca="false">Inputs!$C$15+56</f>
        <v>46293</v>
      </c>
      <c r="D12" s="25" t="s">
        <v>137</v>
      </c>
      <c r="E12" s="26" t="s">
        <v>113</v>
      </c>
      <c r="F12" s="26" t="s">
        <v>134</v>
      </c>
      <c r="G12" s="26" t="s">
        <v>134</v>
      </c>
      <c r="H12" s="26" t="s">
        <v>113</v>
      </c>
      <c r="I12" s="26" t="s">
        <v>134</v>
      </c>
      <c r="J12" s="26" t="s">
        <v>138</v>
      </c>
      <c r="K12" s="26" t="s">
        <v>105</v>
      </c>
      <c r="L12" s="26" t="s">
        <v>139</v>
      </c>
    </row>
    <row r="13" customFormat="false" ht="23.85" hidden="false" customHeight="false" outlineLevel="0" collapsed="false">
      <c r="B13" s="27" t="n">
        <v>10</v>
      </c>
      <c r="C13" s="28" t="n">
        <f aca="false">Inputs!$C$15+63</f>
        <v>46300</v>
      </c>
      <c r="D13" s="29" t="s">
        <v>140</v>
      </c>
      <c r="E13" s="30" t="s">
        <v>113</v>
      </c>
      <c r="F13" s="30" t="s">
        <v>141</v>
      </c>
      <c r="G13" s="30" t="s">
        <v>134</v>
      </c>
      <c r="H13" s="30" t="s">
        <v>113</v>
      </c>
      <c r="I13" s="30" t="s">
        <v>141</v>
      </c>
      <c r="J13" s="30" t="s">
        <v>142</v>
      </c>
      <c r="K13" s="30" t="s">
        <v>105</v>
      </c>
      <c r="L13" s="30" t="s">
        <v>143</v>
      </c>
    </row>
    <row r="14" customFormat="false" ht="23.85" hidden="false" customHeight="false" outlineLevel="0" collapsed="false">
      <c r="B14" s="23" t="n">
        <v>11</v>
      </c>
      <c r="C14" s="24" t="n">
        <f aca="false">Inputs!$C$15+70</f>
        <v>46307</v>
      </c>
      <c r="D14" s="25" t="s">
        <v>144</v>
      </c>
      <c r="E14" s="26" t="s">
        <v>113</v>
      </c>
      <c r="F14" s="26" t="s">
        <v>141</v>
      </c>
      <c r="G14" s="26" t="s">
        <v>141</v>
      </c>
      <c r="H14" s="26" t="s">
        <v>113</v>
      </c>
      <c r="I14" s="26" t="s">
        <v>141</v>
      </c>
      <c r="J14" s="26" t="s">
        <v>145</v>
      </c>
      <c r="K14" s="26" t="s">
        <v>105</v>
      </c>
      <c r="L14" s="26" t="s">
        <v>146</v>
      </c>
    </row>
    <row r="15" customFormat="false" ht="35.05" hidden="false" customHeight="false" outlineLevel="0" collapsed="false">
      <c r="B15" s="27" t="n">
        <v>12</v>
      </c>
      <c r="C15" s="28" t="n">
        <f aca="false">Inputs!$C$15+77</f>
        <v>46314</v>
      </c>
      <c r="D15" s="29" t="s">
        <v>147</v>
      </c>
      <c r="E15" s="30" t="s">
        <v>113</v>
      </c>
      <c r="F15" s="30" t="s">
        <v>141</v>
      </c>
      <c r="G15" s="30" t="s">
        <v>141</v>
      </c>
      <c r="H15" s="30" t="s">
        <v>113</v>
      </c>
      <c r="I15" s="30" t="s">
        <v>141</v>
      </c>
      <c r="J15" s="30" t="s">
        <v>148</v>
      </c>
      <c r="K15" s="30" t="s">
        <v>105</v>
      </c>
      <c r="L15" s="30" t="s">
        <v>149</v>
      </c>
    </row>
    <row r="16" customFormat="false" ht="35.05" hidden="false" customHeight="false" outlineLevel="0" collapsed="false">
      <c r="B16" s="23" t="n">
        <v>13</v>
      </c>
      <c r="C16" s="24" t="n">
        <f aca="false">Inputs!$C$15+84</f>
        <v>46321</v>
      </c>
      <c r="D16" s="25" t="s">
        <v>150</v>
      </c>
      <c r="E16" s="26" t="s">
        <v>113</v>
      </c>
      <c r="F16" s="26" t="s">
        <v>141</v>
      </c>
      <c r="G16" s="26" t="s">
        <v>151</v>
      </c>
      <c r="H16" s="26" t="s">
        <v>113</v>
      </c>
      <c r="I16" s="26" t="s">
        <v>152</v>
      </c>
      <c r="J16" s="26" t="s">
        <v>153</v>
      </c>
      <c r="K16" s="26" t="s">
        <v>105</v>
      </c>
      <c r="L16" s="26" t="s">
        <v>154</v>
      </c>
    </row>
    <row r="17" customFormat="false" ht="35.05" hidden="false" customHeight="false" outlineLevel="0" collapsed="false">
      <c r="B17" s="27" t="n">
        <v>14</v>
      </c>
      <c r="C17" s="28" t="n">
        <f aca="false">Inputs!$C$15+91</f>
        <v>46328</v>
      </c>
      <c r="D17" s="29" t="s">
        <v>155</v>
      </c>
      <c r="E17" s="30" t="s">
        <v>113</v>
      </c>
      <c r="F17" s="30" t="s">
        <v>141</v>
      </c>
      <c r="G17" s="30" t="s">
        <v>156</v>
      </c>
      <c r="H17" s="30" t="s">
        <v>113</v>
      </c>
      <c r="I17" s="30" t="s">
        <v>152</v>
      </c>
      <c r="J17" s="30" t="s">
        <v>157</v>
      </c>
      <c r="K17" s="30" t="s">
        <v>105</v>
      </c>
      <c r="L17" s="30" t="s">
        <v>158</v>
      </c>
    </row>
    <row r="18" customFormat="false" ht="35.05" hidden="false" customHeight="false" outlineLevel="0" collapsed="false">
      <c r="B18" s="23" t="n">
        <v>15</v>
      </c>
      <c r="C18" s="24" t="n">
        <f aca="false">Inputs!$C$15+98</f>
        <v>46335</v>
      </c>
      <c r="D18" s="25" t="s">
        <v>159</v>
      </c>
      <c r="E18" s="26" t="s">
        <v>113</v>
      </c>
      <c r="F18" s="26" t="s">
        <v>141</v>
      </c>
      <c r="G18" s="26" t="s">
        <v>160</v>
      </c>
      <c r="H18" s="26" t="s">
        <v>113</v>
      </c>
      <c r="I18" s="26" t="s">
        <v>152</v>
      </c>
      <c r="J18" s="26" t="s">
        <v>161</v>
      </c>
      <c r="K18" s="26" t="s">
        <v>105</v>
      </c>
      <c r="L18" s="26" t="s">
        <v>162</v>
      </c>
    </row>
    <row r="19" customFormat="false" ht="35.05" hidden="false" customHeight="false" outlineLevel="0" collapsed="false">
      <c r="B19" s="27" t="n">
        <v>16</v>
      </c>
      <c r="C19" s="28" t="n">
        <f aca="false">Inputs!$C$15+105</f>
        <v>46342</v>
      </c>
      <c r="D19" s="29" t="s">
        <v>163</v>
      </c>
      <c r="E19" s="30" t="s">
        <v>113</v>
      </c>
      <c r="F19" s="30" t="s">
        <v>141</v>
      </c>
      <c r="G19" s="30" t="s">
        <v>164</v>
      </c>
      <c r="H19" s="30" t="s">
        <v>113</v>
      </c>
      <c r="I19" s="30" t="s">
        <v>152</v>
      </c>
      <c r="J19" s="30" t="s">
        <v>161</v>
      </c>
      <c r="K19" s="30" t="s">
        <v>105</v>
      </c>
      <c r="L19" s="30" t="s">
        <v>165</v>
      </c>
    </row>
    <row r="20" customFormat="false" ht="35.05" hidden="false" customHeight="false" outlineLevel="0" collapsed="false">
      <c r="B20" s="23" t="n">
        <v>17</v>
      </c>
      <c r="C20" s="24" t="n">
        <f aca="false">Inputs!$C$15+112</f>
        <v>46349</v>
      </c>
      <c r="D20" s="25" t="s">
        <v>166</v>
      </c>
      <c r="E20" s="26" t="s">
        <v>113</v>
      </c>
      <c r="F20" s="26" t="s">
        <v>141</v>
      </c>
      <c r="G20" s="26" t="s">
        <v>167</v>
      </c>
      <c r="H20" s="26" t="s">
        <v>113</v>
      </c>
      <c r="I20" s="26" t="s">
        <v>152</v>
      </c>
      <c r="J20" s="26" t="s">
        <v>168</v>
      </c>
      <c r="K20" s="26" t="s">
        <v>105</v>
      </c>
      <c r="L20" s="26" t="s">
        <v>169</v>
      </c>
    </row>
    <row r="21" customFormat="false" ht="23.85" hidden="false" customHeight="false" outlineLevel="0" collapsed="false">
      <c r="B21" s="27" t="n">
        <v>18</v>
      </c>
      <c r="C21" s="28" t="n">
        <f aca="false">Inputs!$C$15+119</f>
        <v>46356</v>
      </c>
      <c r="D21" s="29" t="s">
        <v>170</v>
      </c>
      <c r="E21" s="30" t="s">
        <v>113</v>
      </c>
      <c r="F21" s="30" t="s">
        <v>141</v>
      </c>
      <c r="G21" s="30" t="s">
        <v>171</v>
      </c>
      <c r="H21" s="30" t="s">
        <v>113</v>
      </c>
      <c r="I21" s="30" t="s">
        <v>152</v>
      </c>
      <c r="J21" s="30" t="s">
        <v>168</v>
      </c>
      <c r="K21" s="30" t="s">
        <v>105</v>
      </c>
      <c r="L21" s="30" t="s">
        <v>172</v>
      </c>
    </row>
    <row r="22" customFormat="false" ht="35.05" hidden="false" customHeight="false" outlineLevel="0" collapsed="false">
      <c r="B22" s="23" t="n">
        <v>19</v>
      </c>
      <c r="C22" s="24" t="n">
        <f aca="false">Inputs!$C$15+126</f>
        <v>46363</v>
      </c>
      <c r="D22" s="25" t="s">
        <v>173</v>
      </c>
      <c r="E22" s="26" t="s">
        <v>113</v>
      </c>
      <c r="F22" s="26" t="s">
        <v>141</v>
      </c>
      <c r="G22" s="26" t="s">
        <v>174</v>
      </c>
      <c r="H22" s="26" t="s">
        <v>113</v>
      </c>
      <c r="I22" s="26" t="s">
        <v>152</v>
      </c>
      <c r="J22" s="26" t="s">
        <v>168</v>
      </c>
      <c r="K22" s="26" t="s">
        <v>105</v>
      </c>
      <c r="L22" s="26" t="s">
        <v>175</v>
      </c>
    </row>
    <row r="23" customFormat="false" ht="35.05" hidden="false" customHeight="false" outlineLevel="0" collapsed="false">
      <c r="B23" s="27" t="n">
        <v>20</v>
      </c>
      <c r="C23" s="28" t="n">
        <f aca="false">Inputs!$C$15+133</f>
        <v>46370</v>
      </c>
      <c r="D23" s="29" t="s">
        <v>176</v>
      </c>
      <c r="E23" s="30" t="s">
        <v>113</v>
      </c>
      <c r="F23" s="30" t="s">
        <v>141</v>
      </c>
      <c r="G23" s="30" t="s">
        <v>177</v>
      </c>
      <c r="H23" s="30" t="s">
        <v>113</v>
      </c>
      <c r="I23" s="30" t="s">
        <v>152</v>
      </c>
      <c r="J23" s="30" t="s">
        <v>168</v>
      </c>
      <c r="K23" s="30" t="s">
        <v>105</v>
      </c>
      <c r="L23" s="30"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95"/>
    <col collapsed="false" customWidth="true" hidden="false" outlineLevel="0" max="4" min="4" style="0" width="2"/>
  </cols>
  <sheetData>
    <row r="2" customFormat="false" ht="24.45" hidden="false" customHeight="false" outlineLevel="0" collapsed="false">
      <c r="B2" s="1" t="s">
        <v>40</v>
      </c>
    </row>
    <row r="3" customFormat="false" ht="15" hidden="false" customHeight="false" outlineLevel="0" collapsed="false">
      <c r="B3" s="2" t="s">
        <v>179</v>
      </c>
    </row>
    <row r="5" customFormat="false" ht="15" hidden="false" customHeight="false" outlineLevel="0" collapsed="false">
      <c r="B5" s="10" t="s">
        <v>180</v>
      </c>
      <c r="C5" s="31"/>
    </row>
    <row r="6" customFormat="false" ht="23.85" hidden="false" customHeight="false" outlineLevel="0" collapsed="false">
      <c r="B6" s="32" t="s">
        <v>181</v>
      </c>
      <c r="C6" s="33" t="s">
        <v>182</v>
      </c>
    </row>
    <row r="7" customFormat="false" ht="15" hidden="false" customHeight="false" outlineLevel="0" collapsed="false">
      <c r="B7" s="32" t="s">
        <v>183</v>
      </c>
      <c r="C7" s="33" t="s">
        <v>184</v>
      </c>
    </row>
    <row r="8" customFormat="false" ht="15" hidden="false" customHeight="false" outlineLevel="0" collapsed="false">
      <c r="B8" s="32" t="s">
        <v>14</v>
      </c>
      <c r="C8" s="33" t="s">
        <v>185</v>
      </c>
    </row>
    <row r="9" customFormat="false" ht="23.85" hidden="false" customHeight="false" outlineLevel="0" collapsed="false">
      <c r="B9" s="32" t="s">
        <v>186</v>
      </c>
      <c r="C9" s="33" t="s">
        <v>187</v>
      </c>
    </row>
    <row r="10" customFormat="false" ht="23.85" hidden="false" customHeight="false" outlineLevel="0" collapsed="false">
      <c r="B10" s="32" t="s">
        <v>188</v>
      </c>
      <c r="C10" s="33" t="s">
        <v>189</v>
      </c>
    </row>
    <row r="11" customFormat="false" ht="15" hidden="false" customHeight="false" outlineLevel="0" collapsed="false">
      <c r="B11" s="32" t="s">
        <v>190</v>
      </c>
      <c r="C11" s="33" t="s">
        <v>191</v>
      </c>
    </row>
    <row r="13" customFormat="false" ht="15" hidden="false" customHeight="false" outlineLevel="0" collapsed="false">
      <c r="B13" s="10" t="s">
        <v>192</v>
      </c>
      <c r="C13" s="31"/>
    </row>
    <row r="14" customFormat="false" ht="15" hidden="false" customHeight="false" outlineLevel="0" collapsed="false">
      <c r="B14" s="32" t="s">
        <v>181</v>
      </c>
      <c r="C14" s="33" t="s">
        <v>193</v>
      </c>
    </row>
    <row r="15" customFormat="false" ht="15" hidden="false" customHeight="false" outlineLevel="0" collapsed="false">
      <c r="B15" s="32" t="s">
        <v>183</v>
      </c>
      <c r="C15" s="33" t="s">
        <v>194</v>
      </c>
    </row>
    <row r="16" customFormat="false" ht="15" hidden="false" customHeight="false" outlineLevel="0" collapsed="false">
      <c r="B16" s="32" t="s">
        <v>14</v>
      </c>
      <c r="C16" s="33" t="s">
        <v>195</v>
      </c>
    </row>
    <row r="17" customFormat="false" ht="23.85" hidden="false" customHeight="false" outlineLevel="0" collapsed="false">
      <c r="B17" s="32" t="s">
        <v>188</v>
      </c>
      <c r="C17" s="33" t="s">
        <v>196</v>
      </c>
    </row>
    <row r="19" customFormat="false" ht="15" hidden="false" customHeight="false" outlineLevel="0" collapsed="false">
      <c r="B19" s="10" t="s">
        <v>197</v>
      </c>
      <c r="C19" s="31"/>
    </row>
    <row r="20" customFormat="false" ht="23.85" hidden="false" customHeight="false" outlineLevel="0" collapsed="false">
      <c r="B20" s="32" t="s">
        <v>181</v>
      </c>
      <c r="C20" s="33" t="s">
        <v>198</v>
      </c>
    </row>
    <row r="21" customFormat="false" ht="23.85" hidden="false" customHeight="false" outlineLevel="0" collapsed="false">
      <c r="B21" s="32" t="s">
        <v>199</v>
      </c>
      <c r="C21" s="33" t="s">
        <v>200</v>
      </c>
    </row>
    <row r="22" customFormat="false" ht="15" hidden="false" customHeight="false" outlineLevel="0" collapsed="false">
      <c r="B22" s="32" t="s">
        <v>201</v>
      </c>
      <c r="C22" s="33" t="s">
        <v>202</v>
      </c>
    </row>
    <row r="23" customFormat="false" ht="23.85" hidden="false" customHeight="false" outlineLevel="0" collapsed="false">
      <c r="B23" s="32" t="s">
        <v>203</v>
      </c>
      <c r="C23" s="33" t="s">
        <v>204</v>
      </c>
    </row>
    <row r="24" customFormat="false" ht="15" hidden="false" customHeight="false" outlineLevel="0" collapsed="false">
      <c r="B24" s="32" t="s">
        <v>205</v>
      </c>
      <c r="C24" s="33" t="s">
        <v>206</v>
      </c>
    </row>
    <row r="25" customFormat="false" ht="35.05" hidden="false" customHeight="false" outlineLevel="0" collapsed="false">
      <c r="B25" s="32" t="s">
        <v>207</v>
      </c>
      <c r="C25" s="33" t="s">
        <v>208</v>
      </c>
    </row>
    <row r="26" customFormat="false" ht="23.85" hidden="false" customHeight="false" outlineLevel="0" collapsed="false">
      <c r="B26" s="32" t="s">
        <v>209</v>
      </c>
      <c r="C26" s="33" t="s">
        <v>210</v>
      </c>
    </row>
    <row r="27" customFormat="false" ht="15" hidden="false" customHeight="false" outlineLevel="0" collapsed="false">
      <c r="B27" s="32" t="s">
        <v>211</v>
      </c>
      <c r="C27" s="33" t="s">
        <v>212</v>
      </c>
    </row>
    <row r="29" customFormat="false" ht="15" hidden="false" customHeight="false" outlineLevel="0" collapsed="false">
      <c r="B29" s="10" t="s">
        <v>213</v>
      </c>
      <c r="C29" s="31"/>
    </row>
    <row r="30" customFormat="false" ht="23.85" hidden="false" customHeight="false" outlineLevel="0" collapsed="false">
      <c r="B30" s="32" t="s">
        <v>181</v>
      </c>
      <c r="C30" s="33" t="s">
        <v>214</v>
      </c>
    </row>
    <row r="31" customFormat="false" ht="15" hidden="false" customHeight="false" outlineLevel="0" collapsed="false">
      <c r="B31" s="32" t="s">
        <v>201</v>
      </c>
      <c r="C31" s="33" t="s">
        <v>215</v>
      </c>
    </row>
    <row r="32" customFormat="false" ht="23.85" hidden="false" customHeight="false" outlineLevel="0" collapsed="false">
      <c r="B32" s="32" t="s">
        <v>14</v>
      </c>
      <c r="C32" s="33" t="s">
        <v>216</v>
      </c>
    </row>
    <row r="33" customFormat="false" ht="23.85" hidden="false" customHeight="false" outlineLevel="0" collapsed="false">
      <c r="B33" s="32" t="s">
        <v>188</v>
      </c>
      <c r="C33" s="33" t="s">
        <v>217</v>
      </c>
    </row>
    <row r="34" customFormat="false" ht="15" hidden="false" customHeight="false" outlineLevel="0" collapsed="false">
      <c r="B34" s="32" t="s">
        <v>190</v>
      </c>
      <c r="C34" s="33" t="s">
        <v>218</v>
      </c>
    </row>
    <row r="36" customFormat="false" ht="15" hidden="false" customHeight="false" outlineLevel="0" collapsed="false">
      <c r="B36" s="10" t="s">
        <v>219</v>
      </c>
      <c r="C36" s="31"/>
    </row>
    <row r="37" customFormat="false" ht="15" hidden="false" customHeight="false" outlineLevel="0" collapsed="false">
      <c r="B37" s="32" t="s">
        <v>181</v>
      </c>
      <c r="C37" s="33" t="s">
        <v>220</v>
      </c>
    </row>
    <row r="38" customFormat="false" ht="15" hidden="false" customHeight="false" outlineLevel="0" collapsed="false">
      <c r="B38" s="32" t="s">
        <v>221</v>
      </c>
      <c r="C38" s="33" t="s">
        <v>222</v>
      </c>
    </row>
    <row r="39" customFormat="false" ht="15" hidden="false" customHeight="false" outlineLevel="0" collapsed="false">
      <c r="B39" s="32" t="s">
        <v>223</v>
      </c>
      <c r="C39" s="33" t="s">
        <v>224</v>
      </c>
    </row>
    <row r="41" customFormat="false" ht="15" hidden="false" customHeight="false" outlineLevel="0" collapsed="false">
      <c r="B41" s="10" t="s">
        <v>225</v>
      </c>
      <c r="C41" s="31"/>
    </row>
    <row r="42" customFormat="false" ht="15" hidden="false" customHeight="false" outlineLevel="0" collapsed="false">
      <c r="B42" s="32" t="s">
        <v>181</v>
      </c>
      <c r="C42" s="33" t="s">
        <v>226</v>
      </c>
    </row>
    <row r="43" customFormat="false" ht="15" hidden="false" customHeight="false" outlineLevel="0" collapsed="false">
      <c r="B43" s="32" t="s">
        <v>227</v>
      </c>
      <c r="C43" s="33" t="s">
        <v>228</v>
      </c>
    </row>
    <row r="44" customFormat="false" ht="15" hidden="false" customHeight="false" outlineLevel="0" collapsed="false">
      <c r="B44" s="32" t="s">
        <v>229</v>
      </c>
      <c r="C44" s="33"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95"/>
  </cols>
  <sheetData>
    <row r="2" customFormat="false" ht="24.45" hidden="false" customHeight="false" outlineLevel="0" collapsed="false">
      <c r="B2" s="1" t="s">
        <v>231</v>
      </c>
    </row>
    <row r="3" customFormat="false" ht="15" hidden="false" customHeight="false" outlineLevel="0" collapsed="false">
      <c r="B3" s="2" t="s">
        <v>232</v>
      </c>
    </row>
    <row r="5" customFormat="false" ht="15" hidden="false" customHeight="false" outlineLevel="0" collapsed="false">
      <c r="B5" s="10" t="s">
        <v>233</v>
      </c>
    </row>
    <row r="6" customFormat="false" ht="15" hidden="false" customHeight="false" outlineLevel="0" collapsed="false">
      <c r="B6" s="32" t="s">
        <v>234</v>
      </c>
      <c r="C6" s="33" t="s">
        <v>235</v>
      </c>
    </row>
    <row r="7" customFormat="false" ht="15" hidden="false" customHeight="false" outlineLevel="0" collapsed="false">
      <c r="B7" s="32" t="s">
        <v>236</v>
      </c>
      <c r="C7" s="33" t="s">
        <v>237</v>
      </c>
    </row>
    <row r="8" customFormat="false" ht="15" hidden="false" customHeight="false" outlineLevel="0" collapsed="false">
      <c r="B8" s="32" t="s">
        <v>238</v>
      </c>
      <c r="C8" s="33" t="s">
        <v>239</v>
      </c>
    </row>
    <row r="9" customFormat="false" ht="15" hidden="false" customHeight="false" outlineLevel="0" collapsed="false">
      <c r="B9" s="32" t="s">
        <v>240</v>
      </c>
      <c r="C9" s="33" t="s">
        <v>241</v>
      </c>
    </row>
    <row r="11" customFormat="false" ht="15" hidden="false" customHeight="false" outlineLevel="0" collapsed="false">
      <c r="B11" s="10" t="s">
        <v>242</v>
      </c>
    </row>
    <row r="12" customFormat="false" ht="15" hidden="false" customHeight="true" outlineLevel="0" collapsed="false">
      <c r="B12" s="8" t="s">
        <v>243</v>
      </c>
      <c r="C12" s="8"/>
    </row>
    <row r="13" customFormat="false" ht="15" hidden="false" customHeight="true" outlineLevel="0" collapsed="false">
      <c r="B13" s="8" t="s">
        <v>244</v>
      </c>
      <c r="C13" s="8"/>
    </row>
    <row r="14" customFormat="false" ht="15" hidden="false" customHeight="true" outlineLevel="0" collapsed="false">
      <c r="B14" s="8" t="s">
        <v>245</v>
      </c>
      <c r="C14" s="8"/>
    </row>
    <row r="15" customFormat="false" ht="15" hidden="false" customHeight="true" outlineLevel="0" collapsed="false">
      <c r="B15" s="8" t="s">
        <v>246</v>
      </c>
      <c r="C15" s="8"/>
    </row>
  </sheetData>
  <mergeCells count="4">
    <mergeCell ref="B12:C12"/>
    <mergeCell ref="B13:C13"/>
    <mergeCell ref="B14:C14"/>
    <mergeCell ref="B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5"/>
  </cols>
  <sheetData>
    <row r="2" customFormat="false" ht="24.45" hidden="false" customHeight="false" outlineLevel="0" collapsed="false">
      <c r="B2" s="1" t="s">
        <v>247</v>
      </c>
    </row>
    <row r="3" customFormat="false" ht="15" hidden="false" customHeight="false" outlineLevel="0" collapsed="false">
      <c r="B3" s="2" t="s">
        <v>248</v>
      </c>
    </row>
    <row r="5" customFormat="false" ht="15" hidden="false" customHeight="false" outlineLevel="0" collapsed="false">
      <c r="B5" s="10" t="s">
        <v>249</v>
      </c>
      <c r="C5" s="34" t="s">
        <v>250</v>
      </c>
    </row>
    <row r="6" customFormat="false" ht="35.05" hidden="false" customHeight="false" outlineLevel="0" collapsed="false">
      <c r="B6" s="32" t="s">
        <v>251</v>
      </c>
      <c r="C6" s="33" t="s">
        <v>252</v>
      </c>
    </row>
    <row r="7" customFormat="false" ht="23.85" hidden="false" customHeight="false" outlineLevel="0" collapsed="false">
      <c r="B7" s="32" t="s">
        <v>253</v>
      </c>
      <c r="C7" s="33" t="s">
        <v>254</v>
      </c>
    </row>
    <row r="8" customFormat="false" ht="23.85" hidden="false" customHeight="false" outlineLevel="0" collapsed="false">
      <c r="B8" s="32" t="s">
        <v>255</v>
      </c>
      <c r="C8" s="33" t="s">
        <v>256</v>
      </c>
    </row>
    <row r="9" customFormat="false" ht="23.85" hidden="false" customHeight="false" outlineLevel="0" collapsed="false">
      <c r="B9" s="32" t="s">
        <v>257</v>
      </c>
      <c r="C9" s="33" t="s">
        <v>258</v>
      </c>
    </row>
    <row r="10" customFormat="false" ht="23.85" hidden="false" customHeight="false" outlineLevel="0" collapsed="false">
      <c r="B10" s="32" t="s">
        <v>259</v>
      </c>
      <c r="C10" s="33" t="s">
        <v>260</v>
      </c>
    </row>
    <row r="11" customFormat="false" ht="23.85" hidden="false" customHeight="false" outlineLevel="0" collapsed="false">
      <c r="B11" s="32" t="s">
        <v>261</v>
      </c>
      <c r="C11" s="33" t="s">
        <v>262</v>
      </c>
    </row>
    <row r="12" customFormat="false" ht="23.85" hidden="false" customHeight="false" outlineLevel="0" collapsed="false">
      <c r="B12" s="32" t="s">
        <v>263</v>
      </c>
      <c r="C12" s="33" t="s">
        <v>264</v>
      </c>
    </row>
    <row r="13" customFormat="false" ht="35.05" hidden="false" customHeight="false" outlineLevel="0" collapsed="false">
      <c r="B13" s="32" t="s">
        <v>265</v>
      </c>
      <c r="C13" s="33" t="s">
        <v>266</v>
      </c>
    </row>
    <row r="14" customFormat="false" ht="35.05" hidden="false" customHeight="false" outlineLevel="0" collapsed="false">
      <c r="B14" s="32" t="s">
        <v>267</v>
      </c>
      <c r="C14" s="33" t="s">
        <v>268</v>
      </c>
    </row>
    <row r="15" customFormat="false" ht="23.85" hidden="false" customHeight="false" outlineLevel="0" collapsed="false">
      <c r="B15" s="32" t="s">
        <v>269</v>
      </c>
      <c r="C15" s="33" t="s">
        <v>270</v>
      </c>
    </row>
    <row r="16" customFormat="false" ht="23.85" hidden="false" customHeight="false" outlineLevel="0" collapsed="false">
      <c r="B16" s="32" t="s">
        <v>271</v>
      </c>
      <c r="C16" s="33" t="s">
        <v>272</v>
      </c>
    </row>
    <row r="17" customFormat="false" ht="28.35" hidden="false" customHeight="false" outlineLevel="0" collapsed="false">
      <c r="B17" s="32" t="s">
        <v>273</v>
      </c>
      <c r="C17" s="33" t="s">
        <v>274</v>
      </c>
    </row>
    <row r="18" customFormat="false" ht="23.85" hidden="false" customHeight="false" outlineLevel="0" collapsed="false">
      <c r="B18" s="32" t="s">
        <v>275</v>
      </c>
      <c r="C18" s="33" t="s">
        <v>276</v>
      </c>
    </row>
    <row r="20" customFormat="false" ht="46.25" hidden="false" customHeight="false" outlineLevel="0" collapsed="false">
      <c r="B20" s="3" t="s">
        <v>277</v>
      </c>
      <c r="C20" s="35" t="s">
        <v>278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6"/>
    <col collapsed="false" customWidth="true" hidden="false" outlineLevel="0" max="4" min="4" style="0" width="22"/>
    <col collapsed="false" customWidth="true" hidden="false" outlineLevel="0" max="5" min="5" style="0" width="6"/>
    <col collapsed="false" customWidth="true" hidden="false" outlineLevel="0" max="6" min="6" style="0" width="58"/>
    <col collapsed="false" customWidth="true" hidden="false" outlineLevel="0" max="7" min="7" style="0" width="15"/>
    <col collapsed="false" customWidth="true" hidden="false" outlineLevel="0" max="8" min="8" style="0" width="16"/>
    <col collapsed="false" customWidth="true" hidden="false" outlineLevel="0" max="9" min="9" style="0" width="18"/>
    <col collapsed="false" customWidth="true" hidden="false" outlineLevel="0" max="10" min="10" style="0" width="42"/>
  </cols>
  <sheetData>
    <row r="2" customFormat="false" ht="24.45" hidden="false" customHeight="false" outlineLevel="0" collapsed="false">
      <c r="B2" s="1" t="s">
        <v>43</v>
      </c>
    </row>
    <row r="3" customFormat="false" ht="15" hidden="false" customHeight="false" outlineLevel="0" collapsed="false">
      <c r="B3" s="2" t="s">
        <v>279</v>
      </c>
    </row>
    <row r="4" customFormat="false" ht="15" hidden="false" customHeight="false" outlineLevel="0" collapsed="false">
      <c r="B4" s="22" t="s">
        <v>280</v>
      </c>
      <c r="C4" s="22" t="s">
        <v>92</v>
      </c>
      <c r="D4" s="22" t="s">
        <v>94</v>
      </c>
      <c r="E4" s="22" t="s">
        <v>281</v>
      </c>
      <c r="F4" s="22" t="s">
        <v>282</v>
      </c>
      <c r="G4" s="22" t="s">
        <v>283</v>
      </c>
      <c r="H4" s="22" t="s">
        <v>284</v>
      </c>
      <c r="I4" s="22" t="s">
        <v>285</v>
      </c>
      <c r="J4" s="22" t="s">
        <v>286</v>
      </c>
    </row>
    <row r="5" customFormat="false" ht="15" hidden="false" customHeight="false" outlineLevel="0" collapsed="false">
      <c r="B5" s="36" t="n">
        <f aca="false">Inputs!$C$15+0</f>
        <v>46237</v>
      </c>
      <c r="C5" s="37" t="n">
        <v>1</v>
      </c>
      <c r="D5" s="26" t="s">
        <v>100</v>
      </c>
      <c r="E5" s="38" t="s">
        <v>95</v>
      </c>
      <c r="F5" s="26" t="s">
        <v>101</v>
      </c>
      <c r="G5" s="39"/>
      <c r="H5" s="39"/>
      <c r="I5" s="39"/>
      <c r="J5" s="39"/>
    </row>
    <row r="6" customFormat="false" ht="15" hidden="false" customHeight="false" outlineLevel="0" collapsed="false">
      <c r="B6" s="36" t="n">
        <f aca="false">Inputs!$C$15+1</f>
        <v>46238</v>
      </c>
      <c r="C6" s="37" t="n">
        <v>1</v>
      </c>
      <c r="D6" s="26" t="s">
        <v>100</v>
      </c>
      <c r="E6" s="38" t="s">
        <v>83</v>
      </c>
      <c r="F6" s="26" t="s">
        <v>102</v>
      </c>
      <c r="G6" s="39"/>
      <c r="H6" s="39"/>
      <c r="I6" s="39"/>
      <c r="J6" s="39"/>
    </row>
    <row r="7" customFormat="false" ht="15" hidden="false" customHeight="false" outlineLevel="0" collapsed="false">
      <c r="B7" s="36" t="n">
        <f aca="false">Inputs!$C$15+2</f>
        <v>46239</v>
      </c>
      <c r="C7" s="37" t="n">
        <v>1</v>
      </c>
      <c r="D7" s="26" t="s">
        <v>100</v>
      </c>
      <c r="E7" s="38" t="s">
        <v>287</v>
      </c>
      <c r="F7" s="26" t="s">
        <v>103</v>
      </c>
      <c r="G7" s="39"/>
      <c r="H7" s="39"/>
      <c r="I7" s="39"/>
      <c r="J7" s="39"/>
    </row>
    <row r="8" customFormat="false" ht="15" hidden="false" customHeight="false" outlineLevel="0" collapsed="false">
      <c r="B8" s="36" t="n">
        <f aca="false">Inputs!$C$15+3</f>
        <v>46240</v>
      </c>
      <c r="C8" s="37" t="n">
        <v>1</v>
      </c>
      <c r="D8" s="26" t="s">
        <v>100</v>
      </c>
      <c r="E8" s="38" t="s">
        <v>96</v>
      </c>
      <c r="F8" s="26" t="s">
        <v>101</v>
      </c>
      <c r="G8" s="39"/>
      <c r="H8" s="39"/>
      <c r="I8" s="39"/>
      <c r="J8" s="39"/>
    </row>
    <row r="9" customFormat="false" ht="15" hidden="false" customHeight="false" outlineLevel="0" collapsed="false">
      <c r="B9" s="36" t="n">
        <f aca="false">Inputs!$C$15+4</f>
        <v>46241</v>
      </c>
      <c r="C9" s="37" t="n">
        <v>1</v>
      </c>
      <c r="D9" s="26" t="s">
        <v>100</v>
      </c>
      <c r="E9" s="38" t="s">
        <v>85</v>
      </c>
      <c r="F9" s="26" t="s">
        <v>103</v>
      </c>
      <c r="G9" s="39"/>
      <c r="H9" s="39"/>
      <c r="I9" s="39"/>
      <c r="J9" s="39"/>
    </row>
    <row r="10" customFormat="false" ht="15" hidden="false" customHeight="false" outlineLevel="0" collapsed="false">
      <c r="B10" s="36" t="n">
        <f aca="false">Inputs!$C$15+5</f>
        <v>46242</v>
      </c>
      <c r="C10" s="37" t="n">
        <v>1</v>
      </c>
      <c r="D10" s="26" t="s">
        <v>100</v>
      </c>
      <c r="E10" s="38" t="s">
        <v>288</v>
      </c>
      <c r="F10" s="26" t="s">
        <v>104</v>
      </c>
      <c r="G10" s="39"/>
      <c r="H10" s="39"/>
      <c r="I10" s="39"/>
      <c r="J10" s="39"/>
    </row>
    <row r="11" customFormat="false" ht="15" hidden="false" customHeight="false" outlineLevel="0" collapsed="false">
      <c r="B11" s="36" t="n">
        <f aca="false">Inputs!$C$15+6</f>
        <v>46243</v>
      </c>
      <c r="C11" s="37" t="n">
        <v>1</v>
      </c>
      <c r="D11" s="26" t="s">
        <v>100</v>
      </c>
      <c r="E11" s="38" t="s">
        <v>98</v>
      </c>
      <c r="F11" s="26" t="s">
        <v>105</v>
      </c>
      <c r="G11" s="39"/>
      <c r="H11" s="39"/>
      <c r="I11" s="39"/>
      <c r="J11" s="39"/>
    </row>
    <row r="12" customFormat="false" ht="15" hidden="false" customHeight="false" outlineLevel="0" collapsed="false">
      <c r="B12" s="40" t="n">
        <f aca="false">Inputs!$C$15+7</f>
        <v>46244</v>
      </c>
      <c r="C12" s="41" t="n">
        <v>2</v>
      </c>
      <c r="D12" s="30" t="s">
        <v>107</v>
      </c>
      <c r="E12" s="42" t="s">
        <v>95</v>
      </c>
      <c r="F12" s="30" t="s">
        <v>101</v>
      </c>
      <c r="G12" s="39"/>
      <c r="H12" s="39"/>
      <c r="I12" s="39"/>
      <c r="J12" s="39"/>
    </row>
    <row r="13" customFormat="false" ht="15" hidden="false" customHeight="false" outlineLevel="0" collapsed="false">
      <c r="B13" s="40" t="n">
        <f aca="false">Inputs!$C$15+8</f>
        <v>46245</v>
      </c>
      <c r="C13" s="41" t="n">
        <v>2</v>
      </c>
      <c r="D13" s="30" t="s">
        <v>107</v>
      </c>
      <c r="E13" s="42" t="s">
        <v>83</v>
      </c>
      <c r="F13" s="30" t="s">
        <v>108</v>
      </c>
      <c r="G13" s="39"/>
      <c r="H13" s="39"/>
      <c r="I13" s="39"/>
      <c r="J13" s="39"/>
    </row>
    <row r="14" customFormat="false" ht="15" hidden="false" customHeight="false" outlineLevel="0" collapsed="false">
      <c r="B14" s="40" t="n">
        <f aca="false">Inputs!$C$15+9</f>
        <v>46246</v>
      </c>
      <c r="C14" s="41" t="n">
        <v>2</v>
      </c>
      <c r="D14" s="30" t="s">
        <v>107</v>
      </c>
      <c r="E14" s="42" t="s">
        <v>287</v>
      </c>
      <c r="F14" s="30" t="s">
        <v>109</v>
      </c>
      <c r="G14" s="39"/>
      <c r="H14" s="39"/>
      <c r="I14" s="39"/>
      <c r="J14" s="39"/>
    </row>
    <row r="15" customFormat="false" ht="15" hidden="false" customHeight="false" outlineLevel="0" collapsed="false">
      <c r="B15" s="40" t="n">
        <f aca="false">Inputs!$C$15+10</f>
        <v>46247</v>
      </c>
      <c r="C15" s="41" t="n">
        <v>2</v>
      </c>
      <c r="D15" s="30" t="s">
        <v>107</v>
      </c>
      <c r="E15" s="42" t="s">
        <v>96</v>
      </c>
      <c r="F15" s="30" t="s">
        <v>101</v>
      </c>
      <c r="G15" s="39"/>
      <c r="H15" s="39"/>
      <c r="I15" s="39"/>
      <c r="J15" s="39"/>
    </row>
    <row r="16" customFormat="false" ht="15" hidden="false" customHeight="false" outlineLevel="0" collapsed="false">
      <c r="B16" s="40" t="n">
        <f aca="false">Inputs!$C$15+11</f>
        <v>46248</v>
      </c>
      <c r="C16" s="41" t="n">
        <v>2</v>
      </c>
      <c r="D16" s="30" t="s">
        <v>107</v>
      </c>
      <c r="E16" s="42" t="s">
        <v>85</v>
      </c>
      <c r="F16" s="30" t="s">
        <v>109</v>
      </c>
      <c r="G16" s="39"/>
      <c r="H16" s="39"/>
      <c r="I16" s="39"/>
      <c r="J16" s="39"/>
    </row>
    <row r="17" customFormat="false" ht="15" hidden="false" customHeight="false" outlineLevel="0" collapsed="false">
      <c r="B17" s="40" t="n">
        <f aca="false">Inputs!$C$15+12</f>
        <v>46249</v>
      </c>
      <c r="C17" s="41" t="n">
        <v>2</v>
      </c>
      <c r="D17" s="30" t="s">
        <v>107</v>
      </c>
      <c r="E17" s="42" t="s">
        <v>288</v>
      </c>
      <c r="F17" s="30" t="s">
        <v>110</v>
      </c>
      <c r="G17" s="39"/>
      <c r="H17" s="39"/>
      <c r="I17" s="39"/>
      <c r="J17" s="39"/>
    </row>
    <row r="18" customFormat="false" ht="15" hidden="false" customHeight="false" outlineLevel="0" collapsed="false">
      <c r="B18" s="40" t="n">
        <f aca="false">Inputs!$C$15+13</f>
        <v>46250</v>
      </c>
      <c r="C18" s="41" t="n">
        <v>2</v>
      </c>
      <c r="D18" s="30" t="s">
        <v>107</v>
      </c>
      <c r="E18" s="42" t="s">
        <v>98</v>
      </c>
      <c r="F18" s="30" t="s">
        <v>105</v>
      </c>
      <c r="G18" s="39"/>
      <c r="H18" s="39"/>
      <c r="I18" s="39"/>
      <c r="J18" s="39"/>
    </row>
    <row r="19" customFormat="false" ht="15" hidden="false" customHeight="false" outlineLevel="0" collapsed="false">
      <c r="B19" s="36" t="n">
        <f aca="false">Inputs!$C$15+14</f>
        <v>46251</v>
      </c>
      <c r="C19" s="37" t="n">
        <v>3</v>
      </c>
      <c r="D19" s="26" t="s">
        <v>112</v>
      </c>
      <c r="E19" s="38" t="s">
        <v>95</v>
      </c>
      <c r="F19" s="26" t="s">
        <v>113</v>
      </c>
      <c r="G19" s="39"/>
      <c r="H19" s="39"/>
      <c r="I19" s="39"/>
      <c r="J19" s="39"/>
    </row>
    <row r="20" customFormat="false" ht="15" hidden="false" customHeight="false" outlineLevel="0" collapsed="false">
      <c r="B20" s="36" t="n">
        <f aca="false">Inputs!$C$15+15</f>
        <v>46252</v>
      </c>
      <c r="C20" s="37" t="n">
        <v>3</v>
      </c>
      <c r="D20" s="26" t="s">
        <v>112</v>
      </c>
      <c r="E20" s="38" t="s">
        <v>83</v>
      </c>
      <c r="F20" s="26" t="s">
        <v>114</v>
      </c>
      <c r="G20" s="39"/>
      <c r="H20" s="39"/>
      <c r="I20" s="39"/>
      <c r="J20" s="39"/>
    </row>
    <row r="21" customFormat="false" ht="15" hidden="false" customHeight="false" outlineLevel="0" collapsed="false">
      <c r="B21" s="36" t="n">
        <f aca="false">Inputs!$C$15+16</f>
        <v>46253</v>
      </c>
      <c r="C21" s="37" t="n">
        <v>3</v>
      </c>
      <c r="D21" s="26" t="s">
        <v>112</v>
      </c>
      <c r="E21" s="38" t="s">
        <v>287</v>
      </c>
      <c r="F21" s="26" t="s">
        <v>114</v>
      </c>
      <c r="G21" s="39"/>
      <c r="H21" s="39"/>
      <c r="I21" s="39"/>
      <c r="J21" s="39"/>
    </row>
    <row r="22" customFormat="false" ht="15" hidden="false" customHeight="false" outlineLevel="0" collapsed="false">
      <c r="B22" s="36" t="n">
        <f aca="false">Inputs!$C$15+17</f>
        <v>46254</v>
      </c>
      <c r="C22" s="37" t="n">
        <v>3</v>
      </c>
      <c r="D22" s="26" t="s">
        <v>112</v>
      </c>
      <c r="E22" s="38" t="s">
        <v>96</v>
      </c>
      <c r="F22" s="26" t="s">
        <v>113</v>
      </c>
      <c r="G22" s="39"/>
      <c r="H22" s="39"/>
      <c r="I22" s="39"/>
      <c r="J22" s="39"/>
    </row>
    <row r="23" customFormat="false" ht="15" hidden="false" customHeight="false" outlineLevel="0" collapsed="false">
      <c r="B23" s="36" t="n">
        <f aca="false">Inputs!$C$15+18</f>
        <v>46255</v>
      </c>
      <c r="C23" s="37" t="n">
        <v>3</v>
      </c>
      <c r="D23" s="26" t="s">
        <v>112</v>
      </c>
      <c r="E23" s="38" t="s">
        <v>85</v>
      </c>
      <c r="F23" s="26" t="s">
        <v>114</v>
      </c>
      <c r="G23" s="39"/>
      <c r="H23" s="39"/>
      <c r="I23" s="39"/>
      <c r="J23" s="39"/>
    </row>
    <row r="24" customFormat="false" ht="15" hidden="false" customHeight="false" outlineLevel="0" collapsed="false">
      <c r="B24" s="36" t="n">
        <f aca="false">Inputs!$C$15+19</f>
        <v>46256</v>
      </c>
      <c r="C24" s="37" t="n">
        <v>3</v>
      </c>
      <c r="D24" s="26" t="s">
        <v>112</v>
      </c>
      <c r="E24" s="38" t="s">
        <v>288</v>
      </c>
      <c r="F24" s="26" t="s">
        <v>115</v>
      </c>
      <c r="G24" s="39"/>
      <c r="H24" s="39"/>
      <c r="I24" s="39"/>
      <c r="J24" s="39"/>
    </row>
    <row r="25" customFormat="false" ht="15" hidden="false" customHeight="false" outlineLevel="0" collapsed="false">
      <c r="B25" s="36" t="n">
        <f aca="false">Inputs!$C$15+20</f>
        <v>46257</v>
      </c>
      <c r="C25" s="37" t="n">
        <v>3</v>
      </c>
      <c r="D25" s="26" t="s">
        <v>112</v>
      </c>
      <c r="E25" s="38" t="s">
        <v>98</v>
      </c>
      <c r="F25" s="26" t="s">
        <v>105</v>
      </c>
      <c r="G25" s="39"/>
      <c r="H25" s="39"/>
      <c r="I25" s="39"/>
      <c r="J25" s="39"/>
    </row>
    <row r="26" customFormat="false" ht="15" hidden="false" customHeight="false" outlineLevel="0" collapsed="false">
      <c r="B26" s="40" t="n">
        <f aca="false">Inputs!$C$15+21</f>
        <v>46258</v>
      </c>
      <c r="C26" s="41" t="n">
        <v>4</v>
      </c>
      <c r="D26" s="30" t="s">
        <v>117</v>
      </c>
      <c r="E26" s="42" t="s">
        <v>95</v>
      </c>
      <c r="F26" s="30" t="s">
        <v>113</v>
      </c>
      <c r="G26" s="39"/>
      <c r="H26" s="39"/>
      <c r="I26" s="39"/>
      <c r="J26" s="39"/>
    </row>
    <row r="27" customFormat="false" ht="15" hidden="false" customHeight="false" outlineLevel="0" collapsed="false">
      <c r="B27" s="40" t="n">
        <f aca="false">Inputs!$C$15+22</f>
        <v>46259</v>
      </c>
      <c r="C27" s="41" t="n">
        <v>4</v>
      </c>
      <c r="D27" s="30" t="s">
        <v>117</v>
      </c>
      <c r="E27" s="42" t="s">
        <v>83</v>
      </c>
      <c r="F27" s="30" t="s">
        <v>118</v>
      </c>
      <c r="G27" s="39"/>
      <c r="H27" s="39"/>
      <c r="I27" s="39"/>
      <c r="J27" s="39"/>
    </row>
    <row r="28" customFormat="false" ht="15" hidden="false" customHeight="false" outlineLevel="0" collapsed="false">
      <c r="B28" s="40" t="n">
        <f aca="false">Inputs!$C$15+23</f>
        <v>46260</v>
      </c>
      <c r="C28" s="41" t="n">
        <v>4</v>
      </c>
      <c r="D28" s="30" t="s">
        <v>117</v>
      </c>
      <c r="E28" s="42" t="s">
        <v>287</v>
      </c>
      <c r="F28" s="30" t="s">
        <v>118</v>
      </c>
      <c r="G28" s="39"/>
      <c r="H28" s="39"/>
      <c r="I28" s="39"/>
      <c r="J28" s="39"/>
    </row>
    <row r="29" customFormat="false" ht="15" hidden="false" customHeight="false" outlineLevel="0" collapsed="false">
      <c r="B29" s="40" t="n">
        <f aca="false">Inputs!$C$15+24</f>
        <v>46261</v>
      </c>
      <c r="C29" s="41" t="n">
        <v>4</v>
      </c>
      <c r="D29" s="30" t="s">
        <v>117</v>
      </c>
      <c r="E29" s="42" t="s">
        <v>96</v>
      </c>
      <c r="F29" s="30" t="s">
        <v>113</v>
      </c>
      <c r="G29" s="39"/>
      <c r="H29" s="39"/>
      <c r="I29" s="39"/>
      <c r="J29" s="39"/>
    </row>
    <row r="30" customFormat="false" ht="15" hidden="false" customHeight="false" outlineLevel="0" collapsed="false">
      <c r="B30" s="40" t="n">
        <f aca="false">Inputs!$C$15+25</f>
        <v>46262</v>
      </c>
      <c r="C30" s="41" t="n">
        <v>4</v>
      </c>
      <c r="D30" s="30" t="s">
        <v>117</v>
      </c>
      <c r="E30" s="42" t="s">
        <v>85</v>
      </c>
      <c r="F30" s="30" t="s">
        <v>118</v>
      </c>
      <c r="G30" s="39"/>
      <c r="H30" s="39"/>
      <c r="I30" s="39"/>
      <c r="J30" s="39"/>
    </row>
    <row r="31" customFormat="false" ht="15" hidden="false" customHeight="false" outlineLevel="0" collapsed="false">
      <c r="B31" s="40" t="n">
        <f aca="false">Inputs!$C$15+26</f>
        <v>46263</v>
      </c>
      <c r="C31" s="41" t="n">
        <v>4</v>
      </c>
      <c r="D31" s="30" t="s">
        <v>117</v>
      </c>
      <c r="E31" s="42" t="s">
        <v>288</v>
      </c>
      <c r="F31" s="30" t="s">
        <v>119</v>
      </c>
      <c r="G31" s="39"/>
      <c r="H31" s="39"/>
      <c r="I31" s="39"/>
      <c r="J31" s="39"/>
    </row>
    <row r="32" customFormat="false" ht="15" hidden="false" customHeight="false" outlineLevel="0" collapsed="false">
      <c r="B32" s="40" t="n">
        <f aca="false">Inputs!$C$15+27</f>
        <v>46264</v>
      </c>
      <c r="C32" s="41" t="n">
        <v>4</v>
      </c>
      <c r="D32" s="30" t="s">
        <v>117</v>
      </c>
      <c r="E32" s="42" t="s">
        <v>98</v>
      </c>
      <c r="F32" s="30" t="s">
        <v>105</v>
      </c>
      <c r="G32" s="39"/>
      <c r="H32" s="39"/>
      <c r="I32" s="39"/>
      <c r="J32" s="39"/>
    </row>
    <row r="33" customFormat="false" ht="15" hidden="false" customHeight="false" outlineLevel="0" collapsed="false">
      <c r="B33" s="36" t="n">
        <f aca="false">Inputs!$C$15+28</f>
        <v>46265</v>
      </c>
      <c r="C33" s="37" t="n">
        <v>5</v>
      </c>
      <c r="D33" s="26" t="s">
        <v>121</v>
      </c>
      <c r="E33" s="38" t="s">
        <v>95</v>
      </c>
      <c r="F33" s="26" t="s">
        <v>113</v>
      </c>
      <c r="G33" s="39"/>
      <c r="H33" s="39"/>
      <c r="I33" s="39"/>
      <c r="J33" s="39"/>
    </row>
    <row r="34" customFormat="false" ht="15" hidden="false" customHeight="false" outlineLevel="0" collapsed="false">
      <c r="B34" s="36" t="n">
        <f aca="false">Inputs!$C$15+29</f>
        <v>46266</v>
      </c>
      <c r="C34" s="37" t="n">
        <v>5</v>
      </c>
      <c r="D34" s="26" t="s">
        <v>121</v>
      </c>
      <c r="E34" s="38" t="s">
        <v>83</v>
      </c>
      <c r="F34" s="26" t="s">
        <v>122</v>
      </c>
      <c r="G34" s="39"/>
      <c r="H34" s="39"/>
      <c r="I34" s="39"/>
      <c r="J34" s="39"/>
    </row>
    <row r="35" customFormat="false" ht="15" hidden="false" customHeight="false" outlineLevel="0" collapsed="false">
      <c r="B35" s="36" t="n">
        <f aca="false">Inputs!$C$15+30</f>
        <v>46267</v>
      </c>
      <c r="C35" s="37" t="n">
        <v>5</v>
      </c>
      <c r="D35" s="26" t="s">
        <v>121</v>
      </c>
      <c r="E35" s="38" t="s">
        <v>287</v>
      </c>
      <c r="F35" s="26" t="s">
        <v>118</v>
      </c>
      <c r="G35" s="39"/>
      <c r="H35" s="39"/>
      <c r="I35" s="39"/>
      <c r="J35" s="39"/>
    </row>
    <row r="36" customFormat="false" ht="15" hidden="false" customHeight="false" outlineLevel="0" collapsed="false">
      <c r="B36" s="36" t="n">
        <f aca="false">Inputs!$C$15+31</f>
        <v>46268</v>
      </c>
      <c r="C36" s="37" t="n">
        <v>5</v>
      </c>
      <c r="D36" s="26" t="s">
        <v>121</v>
      </c>
      <c r="E36" s="38" t="s">
        <v>96</v>
      </c>
      <c r="F36" s="26" t="s">
        <v>113</v>
      </c>
      <c r="G36" s="39"/>
      <c r="H36" s="39"/>
      <c r="I36" s="39"/>
      <c r="J36" s="39"/>
    </row>
    <row r="37" customFormat="false" ht="15" hidden="false" customHeight="false" outlineLevel="0" collapsed="false">
      <c r="B37" s="36" t="n">
        <f aca="false">Inputs!$C$15+32</f>
        <v>46269</v>
      </c>
      <c r="C37" s="37" t="n">
        <v>5</v>
      </c>
      <c r="D37" s="26" t="s">
        <v>121</v>
      </c>
      <c r="E37" s="38" t="s">
        <v>85</v>
      </c>
      <c r="F37" s="26" t="s">
        <v>122</v>
      </c>
      <c r="G37" s="39"/>
      <c r="H37" s="39"/>
      <c r="I37" s="39"/>
      <c r="J37" s="39"/>
    </row>
    <row r="38" customFormat="false" ht="15" hidden="false" customHeight="false" outlineLevel="0" collapsed="false">
      <c r="B38" s="36" t="n">
        <f aca="false">Inputs!$C$15+33</f>
        <v>46270</v>
      </c>
      <c r="C38" s="37" t="n">
        <v>5</v>
      </c>
      <c r="D38" s="26" t="s">
        <v>121</v>
      </c>
      <c r="E38" s="38" t="s">
        <v>288</v>
      </c>
      <c r="F38" s="26" t="s">
        <v>123</v>
      </c>
      <c r="G38" s="39"/>
      <c r="H38" s="39"/>
      <c r="I38" s="39"/>
      <c r="J38" s="39"/>
    </row>
    <row r="39" customFormat="false" ht="15" hidden="false" customHeight="false" outlineLevel="0" collapsed="false">
      <c r="B39" s="36" t="n">
        <f aca="false">Inputs!$C$15+34</f>
        <v>46271</v>
      </c>
      <c r="C39" s="37" t="n">
        <v>5</v>
      </c>
      <c r="D39" s="26" t="s">
        <v>121</v>
      </c>
      <c r="E39" s="38" t="s">
        <v>98</v>
      </c>
      <c r="F39" s="26" t="s">
        <v>105</v>
      </c>
      <c r="G39" s="39"/>
      <c r="H39" s="39"/>
      <c r="I39" s="39"/>
      <c r="J39" s="39"/>
    </row>
    <row r="40" customFormat="false" ht="15" hidden="false" customHeight="false" outlineLevel="0" collapsed="false">
      <c r="B40" s="40" t="n">
        <f aca="false">Inputs!$C$15+35</f>
        <v>46272</v>
      </c>
      <c r="C40" s="41" t="n">
        <v>6</v>
      </c>
      <c r="D40" s="30" t="s">
        <v>125</v>
      </c>
      <c r="E40" s="42" t="s">
        <v>95</v>
      </c>
      <c r="F40" s="30" t="s">
        <v>113</v>
      </c>
      <c r="G40" s="39"/>
      <c r="H40" s="39"/>
      <c r="I40" s="39"/>
      <c r="J40" s="39"/>
    </row>
    <row r="41" customFormat="false" ht="15" hidden="false" customHeight="false" outlineLevel="0" collapsed="false">
      <c r="B41" s="40" t="n">
        <f aca="false">Inputs!$C$15+36</f>
        <v>46273</v>
      </c>
      <c r="C41" s="41" t="n">
        <v>6</v>
      </c>
      <c r="D41" s="30" t="s">
        <v>125</v>
      </c>
      <c r="E41" s="42" t="s">
        <v>83</v>
      </c>
      <c r="F41" s="30" t="s">
        <v>126</v>
      </c>
      <c r="G41" s="39"/>
      <c r="H41" s="39"/>
      <c r="I41" s="39"/>
      <c r="J41" s="39"/>
    </row>
    <row r="42" customFormat="false" ht="15" hidden="false" customHeight="false" outlineLevel="0" collapsed="false">
      <c r="B42" s="40" t="n">
        <f aca="false">Inputs!$C$15+37</f>
        <v>46274</v>
      </c>
      <c r="C42" s="41" t="n">
        <v>6</v>
      </c>
      <c r="D42" s="30" t="s">
        <v>125</v>
      </c>
      <c r="E42" s="42" t="s">
        <v>287</v>
      </c>
      <c r="F42" s="30" t="s">
        <v>122</v>
      </c>
      <c r="G42" s="39"/>
      <c r="H42" s="39"/>
      <c r="I42" s="39"/>
      <c r="J42" s="39"/>
    </row>
    <row r="43" customFormat="false" ht="15" hidden="false" customHeight="false" outlineLevel="0" collapsed="false">
      <c r="B43" s="40" t="n">
        <f aca="false">Inputs!$C$15+38</f>
        <v>46275</v>
      </c>
      <c r="C43" s="41" t="n">
        <v>6</v>
      </c>
      <c r="D43" s="30" t="s">
        <v>125</v>
      </c>
      <c r="E43" s="42" t="s">
        <v>96</v>
      </c>
      <c r="F43" s="30" t="s">
        <v>113</v>
      </c>
      <c r="G43" s="39"/>
      <c r="H43" s="39"/>
      <c r="I43" s="39"/>
      <c r="J43" s="39"/>
    </row>
    <row r="44" customFormat="false" ht="15" hidden="false" customHeight="false" outlineLevel="0" collapsed="false">
      <c r="B44" s="40" t="n">
        <f aca="false">Inputs!$C$15+39</f>
        <v>46276</v>
      </c>
      <c r="C44" s="41" t="n">
        <v>6</v>
      </c>
      <c r="D44" s="30" t="s">
        <v>125</v>
      </c>
      <c r="E44" s="42" t="s">
        <v>85</v>
      </c>
      <c r="F44" s="30" t="s">
        <v>126</v>
      </c>
      <c r="G44" s="39"/>
      <c r="H44" s="39"/>
      <c r="I44" s="39"/>
      <c r="J44" s="39"/>
    </row>
    <row r="45" customFormat="false" ht="15" hidden="false" customHeight="false" outlineLevel="0" collapsed="false">
      <c r="B45" s="40" t="n">
        <f aca="false">Inputs!$C$15+40</f>
        <v>46277</v>
      </c>
      <c r="C45" s="41" t="n">
        <v>6</v>
      </c>
      <c r="D45" s="30" t="s">
        <v>125</v>
      </c>
      <c r="E45" s="42" t="s">
        <v>288</v>
      </c>
      <c r="F45" s="30" t="s">
        <v>127</v>
      </c>
      <c r="G45" s="39"/>
      <c r="H45" s="39"/>
      <c r="I45" s="39"/>
      <c r="J45" s="39"/>
    </row>
    <row r="46" customFormat="false" ht="15" hidden="false" customHeight="false" outlineLevel="0" collapsed="false">
      <c r="B46" s="40" t="n">
        <f aca="false">Inputs!$C$15+41</f>
        <v>46278</v>
      </c>
      <c r="C46" s="41" t="n">
        <v>6</v>
      </c>
      <c r="D46" s="30" t="s">
        <v>125</v>
      </c>
      <c r="E46" s="42" t="s">
        <v>98</v>
      </c>
      <c r="F46" s="30" t="s">
        <v>105</v>
      </c>
      <c r="G46" s="39"/>
      <c r="H46" s="39"/>
      <c r="I46" s="39"/>
      <c r="J46" s="39"/>
    </row>
    <row r="47" customFormat="false" ht="15" hidden="false" customHeight="false" outlineLevel="0" collapsed="false">
      <c r="B47" s="36" t="n">
        <f aca="false">Inputs!$C$15+42</f>
        <v>46279</v>
      </c>
      <c r="C47" s="37" t="n">
        <v>7</v>
      </c>
      <c r="D47" s="26" t="s">
        <v>129</v>
      </c>
      <c r="E47" s="38" t="s">
        <v>95</v>
      </c>
      <c r="F47" s="26" t="s">
        <v>113</v>
      </c>
      <c r="G47" s="39"/>
      <c r="H47" s="39"/>
      <c r="I47" s="39"/>
      <c r="J47" s="39"/>
    </row>
    <row r="48" customFormat="false" ht="15" hidden="false" customHeight="false" outlineLevel="0" collapsed="false">
      <c r="B48" s="36" t="n">
        <f aca="false">Inputs!$C$15+43</f>
        <v>46280</v>
      </c>
      <c r="C48" s="37" t="n">
        <v>7</v>
      </c>
      <c r="D48" s="26" t="s">
        <v>129</v>
      </c>
      <c r="E48" s="38" t="s">
        <v>83</v>
      </c>
      <c r="F48" s="26" t="s">
        <v>130</v>
      </c>
      <c r="G48" s="39"/>
      <c r="H48" s="39"/>
      <c r="I48" s="39"/>
      <c r="J48" s="39"/>
    </row>
    <row r="49" customFormat="false" ht="15" hidden="false" customHeight="false" outlineLevel="0" collapsed="false">
      <c r="B49" s="36" t="n">
        <f aca="false">Inputs!$C$15+44</f>
        <v>46281</v>
      </c>
      <c r="C49" s="37" t="n">
        <v>7</v>
      </c>
      <c r="D49" s="26" t="s">
        <v>129</v>
      </c>
      <c r="E49" s="38" t="s">
        <v>287</v>
      </c>
      <c r="F49" s="26" t="s">
        <v>126</v>
      </c>
      <c r="G49" s="39"/>
      <c r="H49" s="39"/>
      <c r="I49" s="39"/>
      <c r="J49" s="39"/>
    </row>
    <row r="50" customFormat="false" ht="15" hidden="false" customHeight="false" outlineLevel="0" collapsed="false">
      <c r="B50" s="36" t="n">
        <f aca="false">Inputs!$C$15+45</f>
        <v>46282</v>
      </c>
      <c r="C50" s="37" t="n">
        <v>7</v>
      </c>
      <c r="D50" s="26" t="s">
        <v>129</v>
      </c>
      <c r="E50" s="38" t="s">
        <v>96</v>
      </c>
      <c r="F50" s="26" t="s">
        <v>113</v>
      </c>
      <c r="G50" s="39"/>
      <c r="H50" s="39"/>
      <c r="I50" s="39"/>
      <c r="J50" s="39"/>
    </row>
    <row r="51" customFormat="false" ht="15" hidden="false" customHeight="false" outlineLevel="0" collapsed="false">
      <c r="B51" s="36" t="n">
        <f aca="false">Inputs!$C$15+46</f>
        <v>46283</v>
      </c>
      <c r="C51" s="37" t="n">
        <v>7</v>
      </c>
      <c r="D51" s="26" t="s">
        <v>129</v>
      </c>
      <c r="E51" s="38" t="s">
        <v>85</v>
      </c>
      <c r="F51" s="26" t="s">
        <v>130</v>
      </c>
      <c r="G51" s="39"/>
      <c r="H51" s="39"/>
      <c r="I51" s="39"/>
      <c r="J51" s="39"/>
    </row>
    <row r="52" customFormat="false" ht="15" hidden="false" customHeight="false" outlineLevel="0" collapsed="false">
      <c r="B52" s="36" t="n">
        <f aca="false">Inputs!$C$15+47</f>
        <v>46284</v>
      </c>
      <c r="C52" s="37" t="n">
        <v>7</v>
      </c>
      <c r="D52" s="26" t="s">
        <v>129</v>
      </c>
      <c r="E52" s="38" t="s">
        <v>288</v>
      </c>
      <c r="F52" s="26" t="s">
        <v>131</v>
      </c>
      <c r="G52" s="39"/>
      <c r="H52" s="39"/>
      <c r="I52" s="39"/>
      <c r="J52" s="39"/>
    </row>
    <row r="53" customFormat="false" ht="15" hidden="false" customHeight="false" outlineLevel="0" collapsed="false">
      <c r="B53" s="36" t="n">
        <f aca="false">Inputs!$C$15+48</f>
        <v>46285</v>
      </c>
      <c r="C53" s="37" t="n">
        <v>7</v>
      </c>
      <c r="D53" s="26" t="s">
        <v>129</v>
      </c>
      <c r="E53" s="38" t="s">
        <v>98</v>
      </c>
      <c r="F53" s="26" t="s">
        <v>105</v>
      </c>
      <c r="G53" s="39"/>
      <c r="H53" s="39"/>
      <c r="I53" s="39"/>
      <c r="J53" s="39"/>
    </row>
    <row r="54" customFormat="false" ht="15" hidden="false" customHeight="false" outlineLevel="0" collapsed="false">
      <c r="B54" s="40" t="n">
        <f aca="false">Inputs!$C$15+49</f>
        <v>46286</v>
      </c>
      <c r="C54" s="41" t="n">
        <v>8</v>
      </c>
      <c r="D54" s="30" t="s">
        <v>133</v>
      </c>
      <c r="E54" s="42" t="s">
        <v>95</v>
      </c>
      <c r="F54" s="30" t="s">
        <v>113</v>
      </c>
      <c r="G54" s="39"/>
      <c r="H54" s="39"/>
      <c r="I54" s="39"/>
      <c r="J54" s="39"/>
    </row>
    <row r="55" customFormat="false" ht="15" hidden="false" customHeight="false" outlineLevel="0" collapsed="false">
      <c r="B55" s="40" t="n">
        <f aca="false">Inputs!$C$15+50</f>
        <v>46287</v>
      </c>
      <c r="C55" s="41" t="n">
        <v>8</v>
      </c>
      <c r="D55" s="30" t="s">
        <v>133</v>
      </c>
      <c r="E55" s="42" t="s">
        <v>83</v>
      </c>
      <c r="F55" s="30" t="s">
        <v>134</v>
      </c>
      <c r="G55" s="39"/>
      <c r="H55" s="39"/>
      <c r="I55" s="39"/>
      <c r="J55" s="39"/>
    </row>
    <row r="56" customFormat="false" ht="15" hidden="false" customHeight="false" outlineLevel="0" collapsed="false">
      <c r="B56" s="40" t="n">
        <f aca="false">Inputs!$C$15+51</f>
        <v>46288</v>
      </c>
      <c r="C56" s="41" t="n">
        <v>8</v>
      </c>
      <c r="D56" s="30" t="s">
        <v>133</v>
      </c>
      <c r="E56" s="42" t="s">
        <v>287</v>
      </c>
      <c r="F56" s="30" t="s">
        <v>130</v>
      </c>
      <c r="G56" s="39"/>
      <c r="H56" s="39"/>
      <c r="I56" s="39"/>
      <c r="J56" s="39"/>
    </row>
    <row r="57" customFormat="false" ht="15" hidden="false" customHeight="false" outlineLevel="0" collapsed="false">
      <c r="B57" s="40" t="n">
        <f aca="false">Inputs!$C$15+52</f>
        <v>46289</v>
      </c>
      <c r="C57" s="41" t="n">
        <v>8</v>
      </c>
      <c r="D57" s="30" t="s">
        <v>133</v>
      </c>
      <c r="E57" s="42" t="s">
        <v>96</v>
      </c>
      <c r="F57" s="30" t="s">
        <v>113</v>
      </c>
      <c r="G57" s="39"/>
      <c r="H57" s="39"/>
      <c r="I57" s="39"/>
      <c r="J57" s="39"/>
    </row>
    <row r="58" customFormat="false" ht="15" hidden="false" customHeight="false" outlineLevel="0" collapsed="false">
      <c r="B58" s="40" t="n">
        <f aca="false">Inputs!$C$15+53</f>
        <v>46290</v>
      </c>
      <c r="C58" s="41" t="n">
        <v>8</v>
      </c>
      <c r="D58" s="30" t="s">
        <v>133</v>
      </c>
      <c r="E58" s="42" t="s">
        <v>85</v>
      </c>
      <c r="F58" s="30" t="s">
        <v>134</v>
      </c>
      <c r="G58" s="39"/>
      <c r="H58" s="39"/>
      <c r="I58" s="39"/>
      <c r="J58" s="39"/>
    </row>
    <row r="59" customFormat="false" ht="15" hidden="false" customHeight="false" outlineLevel="0" collapsed="false">
      <c r="B59" s="40" t="n">
        <f aca="false">Inputs!$C$15+54</f>
        <v>46291</v>
      </c>
      <c r="C59" s="41" t="n">
        <v>8</v>
      </c>
      <c r="D59" s="30" t="s">
        <v>133</v>
      </c>
      <c r="E59" s="42" t="s">
        <v>288</v>
      </c>
      <c r="F59" s="30" t="s">
        <v>135</v>
      </c>
      <c r="G59" s="39"/>
      <c r="H59" s="39"/>
      <c r="I59" s="39"/>
      <c r="J59" s="39"/>
    </row>
    <row r="60" customFormat="false" ht="15" hidden="false" customHeight="false" outlineLevel="0" collapsed="false">
      <c r="B60" s="40" t="n">
        <f aca="false">Inputs!$C$15+55</f>
        <v>46292</v>
      </c>
      <c r="C60" s="41" t="n">
        <v>8</v>
      </c>
      <c r="D60" s="30" t="s">
        <v>133</v>
      </c>
      <c r="E60" s="42" t="s">
        <v>98</v>
      </c>
      <c r="F60" s="30" t="s">
        <v>105</v>
      </c>
      <c r="G60" s="39"/>
      <c r="H60" s="39"/>
      <c r="I60" s="39"/>
      <c r="J60" s="39"/>
    </row>
    <row r="61" customFormat="false" ht="15" hidden="false" customHeight="false" outlineLevel="0" collapsed="false">
      <c r="B61" s="36" t="n">
        <f aca="false">Inputs!$C$15+56</f>
        <v>46293</v>
      </c>
      <c r="C61" s="37" t="n">
        <v>9</v>
      </c>
      <c r="D61" s="26" t="s">
        <v>137</v>
      </c>
      <c r="E61" s="38" t="s">
        <v>95</v>
      </c>
      <c r="F61" s="26" t="s">
        <v>113</v>
      </c>
      <c r="G61" s="39"/>
      <c r="H61" s="39"/>
      <c r="I61" s="39"/>
      <c r="J61" s="39"/>
    </row>
    <row r="62" customFormat="false" ht="15" hidden="false" customHeight="false" outlineLevel="0" collapsed="false">
      <c r="B62" s="36" t="n">
        <f aca="false">Inputs!$C$15+57</f>
        <v>46294</v>
      </c>
      <c r="C62" s="37" t="n">
        <v>9</v>
      </c>
      <c r="D62" s="26" t="s">
        <v>137</v>
      </c>
      <c r="E62" s="38" t="s">
        <v>83</v>
      </c>
      <c r="F62" s="26" t="s">
        <v>134</v>
      </c>
      <c r="G62" s="39"/>
      <c r="H62" s="39"/>
      <c r="I62" s="39"/>
      <c r="J62" s="39"/>
    </row>
    <row r="63" customFormat="false" ht="15" hidden="false" customHeight="false" outlineLevel="0" collapsed="false">
      <c r="B63" s="36" t="n">
        <f aca="false">Inputs!$C$15+58</f>
        <v>46295</v>
      </c>
      <c r="C63" s="37" t="n">
        <v>9</v>
      </c>
      <c r="D63" s="26" t="s">
        <v>137</v>
      </c>
      <c r="E63" s="38" t="s">
        <v>287</v>
      </c>
      <c r="F63" s="26" t="s">
        <v>134</v>
      </c>
      <c r="G63" s="39"/>
      <c r="H63" s="39"/>
      <c r="I63" s="39"/>
      <c r="J63" s="39"/>
    </row>
    <row r="64" customFormat="false" ht="15" hidden="false" customHeight="false" outlineLevel="0" collapsed="false">
      <c r="B64" s="36" t="n">
        <f aca="false">Inputs!$C$15+59</f>
        <v>46296</v>
      </c>
      <c r="C64" s="37" t="n">
        <v>9</v>
      </c>
      <c r="D64" s="26" t="s">
        <v>137</v>
      </c>
      <c r="E64" s="38" t="s">
        <v>96</v>
      </c>
      <c r="F64" s="26" t="s">
        <v>113</v>
      </c>
      <c r="G64" s="39"/>
      <c r="H64" s="39"/>
      <c r="I64" s="39"/>
      <c r="J64" s="39"/>
    </row>
    <row r="65" customFormat="false" ht="15" hidden="false" customHeight="false" outlineLevel="0" collapsed="false">
      <c r="B65" s="36" t="n">
        <f aca="false">Inputs!$C$15+60</f>
        <v>46297</v>
      </c>
      <c r="C65" s="37" t="n">
        <v>9</v>
      </c>
      <c r="D65" s="26" t="s">
        <v>137</v>
      </c>
      <c r="E65" s="38" t="s">
        <v>85</v>
      </c>
      <c r="F65" s="26" t="s">
        <v>134</v>
      </c>
      <c r="G65" s="39"/>
      <c r="H65" s="39"/>
      <c r="I65" s="39"/>
      <c r="J65" s="39"/>
    </row>
    <row r="66" customFormat="false" ht="15" hidden="false" customHeight="false" outlineLevel="0" collapsed="false">
      <c r="B66" s="36" t="n">
        <f aca="false">Inputs!$C$15+61</f>
        <v>46298</v>
      </c>
      <c r="C66" s="37" t="n">
        <v>9</v>
      </c>
      <c r="D66" s="26" t="s">
        <v>137</v>
      </c>
      <c r="E66" s="38" t="s">
        <v>288</v>
      </c>
      <c r="F66" s="26" t="s">
        <v>138</v>
      </c>
      <c r="G66" s="39"/>
      <c r="H66" s="39"/>
      <c r="I66" s="39"/>
      <c r="J66" s="39"/>
    </row>
    <row r="67" customFormat="false" ht="15" hidden="false" customHeight="false" outlineLevel="0" collapsed="false">
      <c r="B67" s="36" t="n">
        <f aca="false">Inputs!$C$15+62</f>
        <v>46299</v>
      </c>
      <c r="C67" s="37" t="n">
        <v>9</v>
      </c>
      <c r="D67" s="26" t="s">
        <v>137</v>
      </c>
      <c r="E67" s="38" t="s">
        <v>98</v>
      </c>
      <c r="F67" s="26" t="s">
        <v>105</v>
      </c>
      <c r="G67" s="39"/>
      <c r="H67" s="39"/>
      <c r="I67" s="39"/>
      <c r="J67" s="39"/>
    </row>
    <row r="68" customFormat="false" ht="15" hidden="false" customHeight="false" outlineLevel="0" collapsed="false">
      <c r="B68" s="40" t="n">
        <f aca="false">Inputs!$C$15+63</f>
        <v>46300</v>
      </c>
      <c r="C68" s="41" t="n">
        <v>10</v>
      </c>
      <c r="D68" s="30" t="s">
        <v>140</v>
      </c>
      <c r="E68" s="42" t="s">
        <v>95</v>
      </c>
      <c r="F68" s="30" t="s">
        <v>113</v>
      </c>
      <c r="G68" s="39"/>
      <c r="H68" s="39"/>
      <c r="I68" s="39"/>
      <c r="J68" s="39"/>
    </row>
    <row r="69" customFormat="false" ht="15" hidden="false" customHeight="false" outlineLevel="0" collapsed="false">
      <c r="B69" s="40" t="n">
        <f aca="false">Inputs!$C$15+64</f>
        <v>46301</v>
      </c>
      <c r="C69" s="41" t="n">
        <v>10</v>
      </c>
      <c r="D69" s="30" t="s">
        <v>140</v>
      </c>
      <c r="E69" s="42" t="s">
        <v>83</v>
      </c>
      <c r="F69" s="30" t="s">
        <v>141</v>
      </c>
      <c r="G69" s="39"/>
      <c r="H69" s="39"/>
      <c r="I69" s="39"/>
      <c r="J69" s="39"/>
    </row>
    <row r="70" customFormat="false" ht="15" hidden="false" customHeight="false" outlineLevel="0" collapsed="false">
      <c r="B70" s="40" t="n">
        <f aca="false">Inputs!$C$15+65</f>
        <v>46302</v>
      </c>
      <c r="C70" s="41" t="n">
        <v>10</v>
      </c>
      <c r="D70" s="30" t="s">
        <v>140</v>
      </c>
      <c r="E70" s="42" t="s">
        <v>287</v>
      </c>
      <c r="F70" s="30" t="s">
        <v>134</v>
      </c>
      <c r="G70" s="39"/>
      <c r="H70" s="39"/>
      <c r="I70" s="39"/>
      <c r="J70" s="39"/>
    </row>
    <row r="71" customFormat="false" ht="15" hidden="false" customHeight="false" outlineLevel="0" collapsed="false">
      <c r="B71" s="40" t="n">
        <f aca="false">Inputs!$C$15+66</f>
        <v>46303</v>
      </c>
      <c r="C71" s="41" t="n">
        <v>10</v>
      </c>
      <c r="D71" s="30" t="s">
        <v>140</v>
      </c>
      <c r="E71" s="42" t="s">
        <v>96</v>
      </c>
      <c r="F71" s="30" t="s">
        <v>113</v>
      </c>
      <c r="G71" s="39"/>
      <c r="H71" s="39"/>
      <c r="I71" s="39"/>
      <c r="J71" s="39"/>
    </row>
    <row r="72" customFormat="false" ht="15" hidden="false" customHeight="false" outlineLevel="0" collapsed="false">
      <c r="B72" s="40" t="n">
        <f aca="false">Inputs!$C$15+67</f>
        <v>46304</v>
      </c>
      <c r="C72" s="41" t="n">
        <v>10</v>
      </c>
      <c r="D72" s="30" t="s">
        <v>140</v>
      </c>
      <c r="E72" s="42" t="s">
        <v>85</v>
      </c>
      <c r="F72" s="30" t="s">
        <v>141</v>
      </c>
      <c r="G72" s="39"/>
      <c r="H72" s="39"/>
      <c r="I72" s="39"/>
      <c r="J72" s="39"/>
    </row>
    <row r="73" customFormat="false" ht="15" hidden="false" customHeight="false" outlineLevel="0" collapsed="false">
      <c r="B73" s="40" t="n">
        <f aca="false">Inputs!$C$15+68</f>
        <v>46305</v>
      </c>
      <c r="C73" s="41" t="n">
        <v>10</v>
      </c>
      <c r="D73" s="30" t="s">
        <v>140</v>
      </c>
      <c r="E73" s="42" t="s">
        <v>288</v>
      </c>
      <c r="F73" s="30" t="s">
        <v>142</v>
      </c>
      <c r="G73" s="39"/>
      <c r="H73" s="39"/>
      <c r="I73" s="39"/>
      <c r="J73" s="39"/>
    </row>
    <row r="74" customFormat="false" ht="15" hidden="false" customHeight="false" outlineLevel="0" collapsed="false">
      <c r="B74" s="40" t="n">
        <f aca="false">Inputs!$C$15+69</f>
        <v>46306</v>
      </c>
      <c r="C74" s="41" t="n">
        <v>10</v>
      </c>
      <c r="D74" s="30" t="s">
        <v>140</v>
      </c>
      <c r="E74" s="42" t="s">
        <v>98</v>
      </c>
      <c r="F74" s="30" t="s">
        <v>105</v>
      </c>
      <c r="G74" s="39"/>
      <c r="H74" s="39"/>
      <c r="I74" s="39"/>
      <c r="J74" s="39"/>
    </row>
    <row r="75" customFormat="false" ht="15" hidden="false" customHeight="false" outlineLevel="0" collapsed="false">
      <c r="B75" s="36" t="n">
        <f aca="false">Inputs!$C$15+70</f>
        <v>46307</v>
      </c>
      <c r="C75" s="37" t="n">
        <v>11</v>
      </c>
      <c r="D75" s="26" t="s">
        <v>144</v>
      </c>
      <c r="E75" s="38" t="s">
        <v>95</v>
      </c>
      <c r="F75" s="26" t="s">
        <v>113</v>
      </c>
      <c r="G75" s="39"/>
      <c r="H75" s="39"/>
      <c r="I75" s="39"/>
      <c r="J75" s="39"/>
    </row>
    <row r="76" customFormat="false" ht="15" hidden="false" customHeight="false" outlineLevel="0" collapsed="false">
      <c r="B76" s="36" t="n">
        <f aca="false">Inputs!$C$15+71</f>
        <v>46308</v>
      </c>
      <c r="C76" s="37" t="n">
        <v>11</v>
      </c>
      <c r="D76" s="26" t="s">
        <v>144</v>
      </c>
      <c r="E76" s="38" t="s">
        <v>83</v>
      </c>
      <c r="F76" s="26" t="s">
        <v>141</v>
      </c>
      <c r="G76" s="39"/>
      <c r="H76" s="39"/>
      <c r="I76" s="39"/>
      <c r="J76" s="39"/>
    </row>
    <row r="77" customFormat="false" ht="15" hidden="false" customHeight="false" outlineLevel="0" collapsed="false">
      <c r="B77" s="36" t="n">
        <f aca="false">Inputs!$C$15+72</f>
        <v>46309</v>
      </c>
      <c r="C77" s="37" t="n">
        <v>11</v>
      </c>
      <c r="D77" s="26" t="s">
        <v>144</v>
      </c>
      <c r="E77" s="38" t="s">
        <v>287</v>
      </c>
      <c r="F77" s="26" t="s">
        <v>141</v>
      </c>
      <c r="G77" s="39"/>
      <c r="H77" s="39"/>
      <c r="I77" s="39"/>
      <c r="J77" s="39"/>
    </row>
    <row r="78" customFormat="false" ht="15" hidden="false" customHeight="false" outlineLevel="0" collapsed="false">
      <c r="B78" s="36" t="n">
        <f aca="false">Inputs!$C$15+73</f>
        <v>46310</v>
      </c>
      <c r="C78" s="37" t="n">
        <v>11</v>
      </c>
      <c r="D78" s="26" t="s">
        <v>144</v>
      </c>
      <c r="E78" s="38" t="s">
        <v>96</v>
      </c>
      <c r="F78" s="26" t="s">
        <v>113</v>
      </c>
      <c r="G78" s="39"/>
      <c r="H78" s="39"/>
      <c r="I78" s="39"/>
      <c r="J78" s="39"/>
    </row>
    <row r="79" customFormat="false" ht="15" hidden="false" customHeight="false" outlineLevel="0" collapsed="false">
      <c r="B79" s="36" t="n">
        <f aca="false">Inputs!$C$15+74</f>
        <v>46311</v>
      </c>
      <c r="C79" s="37" t="n">
        <v>11</v>
      </c>
      <c r="D79" s="26" t="s">
        <v>144</v>
      </c>
      <c r="E79" s="38" t="s">
        <v>85</v>
      </c>
      <c r="F79" s="26" t="s">
        <v>141</v>
      </c>
      <c r="G79" s="39"/>
      <c r="H79" s="39"/>
      <c r="I79" s="39"/>
      <c r="J79" s="39"/>
    </row>
    <row r="80" customFormat="false" ht="15" hidden="false" customHeight="false" outlineLevel="0" collapsed="false">
      <c r="B80" s="36" t="n">
        <f aca="false">Inputs!$C$15+75</f>
        <v>46312</v>
      </c>
      <c r="C80" s="37" t="n">
        <v>11</v>
      </c>
      <c r="D80" s="26" t="s">
        <v>144</v>
      </c>
      <c r="E80" s="38" t="s">
        <v>288</v>
      </c>
      <c r="F80" s="26" t="s">
        <v>145</v>
      </c>
      <c r="G80" s="39"/>
      <c r="H80" s="39"/>
      <c r="I80" s="39"/>
      <c r="J80" s="39"/>
    </row>
    <row r="81" customFormat="false" ht="15" hidden="false" customHeight="false" outlineLevel="0" collapsed="false">
      <c r="B81" s="36" t="n">
        <f aca="false">Inputs!$C$15+76</f>
        <v>46313</v>
      </c>
      <c r="C81" s="37" t="n">
        <v>11</v>
      </c>
      <c r="D81" s="26" t="s">
        <v>144</v>
      </c>
      <c r="E81" s="38" t="s">
        <v>98</v>
      </c>
      <c r="F81" s="26" t="s">
        <v>105</v>
      </c>
      <c r="G81" s="39"/>
      <c r="H81" s="39"/>
      <c r="I81" s="39"/>
      <c r="J81" s="39"/>
    </row>
    <row r="82" customFormat="false" ht="15" hidden="false" customHeight="false" outlineLevel="0" collapsed="false">
      <c r="B82" s="40" t="n">
        <f aca="false">Inputs!$C$15+77</f>
        <v>46314</v>
      </c>
      <c r="C82" s="41" t="n">
        <v>12</v>
      </c>
      <c r="D82" s="30" t="s">
        <v>147</v>
      </c>
      <c r="E82" s="42" t="s">
        <v>95</v>
      </c>
      <c r="F82" s="30" t="s">
        <v>113</v>
      </c>
      <c r="G82" s="39"/>
      <c r="H82" s="39"/>
      <c r="I82" s="39"/>
      <c r="J82" s="39"/>
    </row>
    <row r="83" customFormat="false" ht="15" hidden="false" customHeight="false" outlineLevel="0" collapsed="false">
      <c r="B83" s="40" t="n">
        <f aca="false">Inputs!$C$15+78</f>
        <v>46315</v>
      </c>
      <c r="C83" s="41" t="n">
        <v>12</v>
      </c>
      <c r="D83" s="30" t="s">
        <v>147</v>
      </c>
      <c r="E83" s="42" t="s">
        <v>83</v>
      </c>
      <c r="F83" s="30" t="s">
        <v>141</v>
      </c>
      <c r="G83" s="39"/>
      <c r="H83" s="39"/>
      <c r="I83" s="39"/>
      <c r="J83" s="39"/>
    </row>
    <row r="84" customFormat="false" ht="15" hidden="false" customHeight="false" outlineLevel="0" collapsed="false">
      <c r="B84" s="40" t="n">
        <f aca="false">Inputs!$C$15+79</f>
        <v>46316</v>
      </c>
      <c r="C84" s="41" t="n">
        <v>12</v>
      </c>
      <c r="D84" s="30" t="s">
        <v>147</v>
      </c>
      <c r="E84" s="42" t="s">
        <v>287</v>
      </c>
      <c r="F84" s="30" t="s">
        <v>141</v>
      </c>
      <c r="G84" s="39"/>
      <c r="H84" s="39"/>
      <c r="I84" s="39"/>
      <c r="J84" s="39"/>
    </row>
    <row r="85" customFormat="false" ht="15" hidden="false" customHeight="false" outlineLevel="0" collapsed="false">
      <c r="B85" s="40" t="n">
        <f aca="false">Inputs!$C$15+80</f>
        <v>46317</v>
      </c>
      <c r="C85" s="41" t="n">
        <v>12</v>
      </c>
      <c r="D85" s="30" t="s">
        <v>147</v>
      </c>
      <c r="E85" s="42" t="s">
        <v>96</v>
      </c>
      <c r="F85" s="30" t="s">
        <v>113</v>
      </c>
      <c r="G85" s="39"/>
      <c r="H85" s="39"/>
      <c r="I85" s="39"/>
      <c r="J85" s="39"/>
    </row>
    <row r="86" customFormat="false" ht="15" hidden="false" customHeight="false" outlineLevel="0" collapsed="false">
      <c r="B86" s="40" t="n">
        <f aca="false">Inputs!$C$15+81</f>
        <v>46318</v>
      </c>
      <c r="C86" s="41" t="n">
        <v>12</v>
      </c>
      <c r="D86" s="30" t="s">
        <v>147</v>
      </c>
      <c r="E86" s="42" t="s">
        <v>85</v>
      </c>
      <c r="F86" s="30" t="s">
        <v>141</v>
      </c>
      <c r="G86" s="39"/>
      <c r="H86" s="39"/>
      <c r="I86" s="39"/>
      <c r="J86" s="39"/>
    </row>
    <row r="87" customFormat="false" ht="15" hidden="false" customHeight="false" outlineLevel="0" collapsed="false">
      <c r="B87" s="40" t="n">
        <f aca="false">Inputs!$C$15+82</f>
        <v>46319</v>
      </c>
      <c r="C87" s="41" t="n">
        <v>12</v>
      </c>
      <c r="D87" s="30" t="s">
        <v>147</v>
      </c>
      <c r="E87" s="42" t="s">
        <v>288</v>
      </c>
      <c r="F87" s="30" t="s">
        <v>148</v>
      </c>
      <c r="G87" s="39"/>
      <c r="H87" s="39"/>
      <c r="I87" s="39"/>
      <c r="J87" s="39"/>
    </row>
    <row r="88" customFormat="false" ht="15" hidden="false" customHeight="false" outlineLevel="0" collapsed="false">
      <c r="B88" s="40" t="n">
        <f aca="false">Inputs!$C$15+83</f>
        <v>46320</v>
      </c>
      <c r="C88" s="41" t="n">
        <v>12</v>
      </c>
      <c r="D88" s="30" t="s">
        <v>147</v>
      </c>
      <c r="E88" s="42" t="s">
        <v>98</v>
      </c>
      <c r="F88" s="30" t="s">
        <v>105</v>
      </c>
      <c r="G88" s="39"/>
      <c r="H88" s="39"/>
      <c r="I88" s="39"/>
      <c r="J88" s="39"/>
    </row>
    <row r="89" customFormat="false" ht="15" hidden="false" customHeight="false" outlineLevel="0" collapsed="false">
      <c r="B89" s="36" t="n">
        <f aca="false">Inputs!$C$15+84</f>
        <v>46321</v>
      </c>
      <c r="C89" s="37" t="n">
        <v>13</v>
      </c>
      <c r="D89" s="26" t="s">
        <v>150</v>
      </c>
      <c r="E89" s="38" t="s">
        <v>95</v>
      </c>
      <c r="F89" s="26" t="s">
        <v>113</v>
      </c>
      <c r="G89" s="39"/>
      <c r="H89" s="39"/>
      <c r="I89" s="39"/>
      <c r="J89" s="39"/>
    </row>
    <row r="90" customFormat="false" ht="15" hidden="false" customHeight="false" outlineLevel="0" collapsed="false">
      <c r="B90" s="36" t="n">
        <f aca="false">Inputs!$C$15+85</f>
        <v>46322</v>
      </c>
      <c r="C90" s="37" t="n">
        <v>13</v>
      </c>
      <c r="D90" s="26" t="s">
        <v>150</v>
      </c>
      <c r="E90" s="38" t="s">
        <v>83</v>
      </c>
      <c r="F90" s="26" t="s">
        <v>141</v>
      </c>
      <c r="G90" s="39"/>
      <c r="H90" s="39"/>
      <c r="I90" s="39"/>
      <c r="J90" s="39"/>
    </row>
    <row r="91" customFormat="false" ht="23.85" hidden="false" customHeight="false" outlineLevel="0" collapsed="false">
      <c r="B91" s="36" t="n">
        <f aca="false">Inputs!$C$15+86</f>
        <v>46323</v>
      </c>
      <c r="C91" s="37" t="n">
        <v>13</v>
      </c>
      <c r="D91" s="26" t="s">
        <v>150</v>
      </c>
      <c r="E91" s="38" t="s">
        <v>287</v>
      </c>
      <c r="F91" s="26" t="s">
        <v>151</v>
      </c>
      <c r="G91" s="39"/>
      <c r="H91" s="39"/>
      <c r="I91" s="39"/>
      <c r="J91" s="39"/>
    </row>
    <row r="92" customFormat="false" ht="15" hidden="false" customHeight="false" outlineLevel="0" collapsed="false">
      <c r="B92" s="36" t="n">
        <f aca="false">Inputs!$C$15+87</f>
        <v>46324</v>
      </c>
      <c r="C92" s="37" t="n">
        <v>13</v>
      </c>
      <c r="D92" s="26" t="s">
        <v>150</v>
      </c>
      <c r="E92" s="38" t="s">
        <v>96</v>
      </c>
      <c r="F92" s="26" t="s">
        <v>113</v>
      </c>
      <c r="G92" s="39"/>
      <c r="H92" s="39"/>
      <c r="I92" s="39"/>
      <c r="J92" s="39"/>
    </row>
    <row r="93" customFormat="false" ht="15" hidden="false" customHeight="false" outlineLevel="0" collapsed="false">
      <c r="B93" s="36" t="n">
        <f aca="false">Inputs!$C$15+88</f>
        <v>46325</v>
      </c>
      <c r="C93" s="37" t="n">
        <v>13</v>
      </c>
      <c r="D93" s="26" t="s">
        <v>150</v>
      </c>
      <c r="E93" s="38" t="s">
        <v>85</v>
      </c>
      <c r="F93" s="26" t="s">
        <v>152</v>
      </c>
      <c r="G93" s="39"/>
      <c r="H93" s="39"/>
      <c r="I93" s="39"/>
      <c r="J93" s="39"/>
    </row>
    <row r="94" customFormat="false" ht="23.85" hidden="false" customHeight="false" outlineLevel="0" collapsed="false">
      <c r="B94" s="36" t="n">
        <f aca="false">Inputs!$C$15+89</f>
        <v>46326</v>
      </c>
      <c r="C94" s="37" t="n">
        <v>13</v>
      </c>
      <c r="D94" s="26" t="s">
        <v>150</v>
      </c>
      <c r="E94" s="38" t="s">
        <v>288</v>
      </c>
      <c r="F94" s="26" t="s">
        <v>153</v>
      </c>
      <c r="G94" s="39"/>
      <c r="H94" s="39"/>
      <c r="I94" s="39"/>
      <c r="J94" s="39"/>
    </row>
    <row r="95" customFormat="false" ht="15" hidden="false" customHeight="false" outlineLevel="0" collapsed="false">
      <c r="B95" s="36" t="n">
        <f aca="false">Inputs!$C$15+90</f>
        <v>46327</v>
      </c>
      <c r="C95" s="37" t="n">
        <v>13</v>
      </c>
      <c r="D95" s="26" t="s">
        <v>150</v>
      </c>
      <c r="E95" s="38" t="s">
        <v>98</v>
      </c>
      <c r="F95" s="26" t="s">
        <v>105</v>
      </c>
      <c r="G95" s="39"/>
      <c r="H95" s="39"/>
      <c r="I95" s="39"/>
      <c r="J95" s="39"/>
    </row>
    <row r="96" customFormat="false" ht="15" hidden="false" customHeight="false" outlineLevel="0" collapsed="false">
      <c r="B96" s="40" t="n">
        <f aca="false">Inputs!$C$15+91</f>
        <v>46328</v>
      </c>
      <c r="C96" s="41" t="n">
        <v>14</v>
      </c>
      <c r="D96" s="30" t="s">
        <v>155</v>
      </c>
      <c r="E96" s="42" t="s">
        <v>95</v>
      </c>
      <c r="F96" s="30" t="s">
        <v>113</v>
      </c>
      <c r="G96" s="39"/>
      <c r="H96" s="39"/>
      <c r="I96" s="39"/>
      <c r="J96" s="39"/>
    </row>
    <row r="97" customFormat="false" ht="15" hidden="false" customHeight="false" outlineLevel="0" collapsed="false">
      <c r="B97" s="40" t="n">
        <f aca="false">Inputs!$C$15+92</f>
        <v>46329</v>
      </c>
      <c r="C97" s="41" t="n">
        <v>14</v>
      </c>
      <c r="D97" s="30" t="s">
        <v>155</v>
      </c>
      <c r="E97" s="42" t="s">
        <v>83</v>
      </c>
      <c r="F97" s="30" t="s">
        <v>141</v>
      </c>
      <c r="G97" s="39"/>
      <c r="H97" s="39"/>
      <c r="I97" s="39"/>
      <c r="J97" s="39"/>
    </row>
    <row r="98" customFormat="false" ht="15" hidden="false" customHeight="false" outlineLevel="0" collapsed="false">
      <c r="B98" s="40" t="n">
        <f aca="false">Inputs!$C$15+93</f>
        <v>46330</v>
      </c>
      <c r="C98" s="41" t="n">
        <v>14</v>
      </c>
      <c r="D98" s="30" t="s">
        <v>155</v>
      </c>
      <c r="E98" s="42" t="s">
        <v>287</v>
      </c>
      <c r="F98" s="30" t="s">
        <v>156</v>
      </c>
      <c r="G98" s="39"/>
      <c r="H98" s="39"/>
      <c r="I98" s="39"/>
      <c r="J98" s="39"/>
    </row>
    <row r="99" customFormat="false" ht="15" hidden="false" customHeight="false" outlineLevel="0" collapsed="false">
      <c r="B99" s="40" t="n">
        <f aca="false">Inputs!$C$15+94</f>
        <v>46331</v>
      </c>
      <c r="C99" s="41" t="n">
        <v>14</v>
      </c>
      <c r="D99" s="30" t="s">
        <v>155</v>
      </c>
      <c r="E99" s="42" t="s">
        <v>96</v>
      </c>
      <c r="F99" s="30" t="s">
        <v>113</v>
      </c>
      <c r="G99" s="39"/>
      <c r="H99" s="39"/>
      <c r="I99" s="39"/>
      <c r="J99" s="39"/>
    </row>
    <row r="100" customFormat="false" ht="15" hidden="false" customHeight="false" outlineLevel="0" collapsed="false">
      <c r="B100" s="40" t="n">
        <f aca="false">Inputs!$C$15+95</f>
        <v>46332</v>
      </c>
      <c r="C100" s="41" t="n">
        <v>14</v>
      </c>
      <c r="D100" s="30" t="s">
        <v>155</v>
      </c>
      <c r="E100" s="42" t="s">
        <v>85</v>
      </c>
      <c r="F100" s="30" t="s">
        <v>152</v>
      </c>
      <c r="G100" s="39"/>
      <c r="H100" s="39"/>
      <c r="I100" s="39"/>
      <c r="J100" s="39"/>
    </row>
    <row r="101" customFormat="false" ht="23.85" hidden="false" customHeight="false" outlineLevel="0" collapsed="false">
      <c r="B101" s="40" t="n">
        <f aca="false">Inputs!$C$15+96</f>
        <v>46333</v>
      </c>
      <c r="C101" s="41" t="n">
        <v>14</v>
      </c>
      <c r="D101" s="30" t="s">
        <v>155</v>
      </c>
      <c r="E101" s="42" t="s">
        <v>288</v>
      </c>
      <c r="F101" s="30" t="s">
        <v>157</v>
      </c>
      <c r="G101" s="39"/>
      <c r="H101" s="39"/>
      <c r="I101" s="39"/>
      <c r="J101" s="39"/>
    </row>
    <row r="102" customFormat="false" ht="15" hidden="false" customHeight="false" outlineLevel="0" collapsed="false">
      <c r="B102" s="40" t="n">
        <f aca="false">Inputs!$C$15+97</f>
        <v>46334</v>
      </c>
      <c r="C102" s="41" t="n">
        <v>14</v>
      </c>
      <c r="D102" s="30" t="s">
        <v>155</v>
      </c>
      <c r="E102" s="42" t="s">
        <v>98</v>
      </c>
      <c r="F102" s="30" t="s">
        <v>105</v>
      </c>
      <c r="G102" s="39"/>
      <c r="H102" s="39"/>
      <c r="I102" s="39"/>
      <c r="J102" s="39"/>
    </row>
    <row r="103" customFormat="false" ht="15" hidden="false" customHeight="false" outlineLevel="0" collapsed="false">
      <c r="B103" s="36" t="n">
        <f aca="false">Inputs!$C$15+98</f>
        <v>46335</v>
      </c>
      <c r="C103" s="37" t="n">
        <v>15</v>
      </c>
      <c r="D103" s="26" t="s">
        <v>159</v>
      </c>
      <c r="E103" s="38" t="s">
        <v>95</v>
      </c>
      <c r="F103" s="26" t="s">
        <v>113</v>
      </c>
      <c r="G103" s="39"/>
      <c r="H103" s="39"/>
      <c r="I103" s="39"/>
      <c r="J103" s="39"/>
    </row>
    <row r="104" customFormat="false" ht="15" hidden="false" customHeight="false" outlineLevel="0" collapsed="false">
      <c r="B104" s="36" t="n">
        <f aca="false">Inputs!$C$15+99</f>
        <v>46336</v>
      </c>
      <c r="C104" s="37" t="n">
        <v>15</v>
      </c>
      <c r="D104" s="26" t="s">
        <v>159</v>
      </c>
      <c r="E104" s="38" t="s">
        <v>83</v>
      </c>
      <c r="F104" s="26" t="s">
        <v>141</v>
      </c>
      <c r="G104" s="39"/>
      <c r="H104" s="39"/>
      <c r="I104" s="39"/>
      <c r="J104" s="39"/>
    </row>
    <row r="105" customFormat="false" ht="15" hidden="false" customHeight="false" outlineLevel="0" collapsed="false">
      <c r="B105" s="36" t="n">
        <f aca="false">Inputs!$C$15+100</f>
        <v>46337</v>
      </c>
      <c r="C105" s="37" t="n">
        <v>15</v>
      </c>
      <c r="D105" s="26" t="s">
        <v>159</v>
      </c>
      <c r="E105" s="38" t="s">
        <v>287</v>
      </c>
      <c r="F105" s="26" t="s">
        <v>160</v>
      </c>
      <c r="G105" s="39"/>
      <c r="H105" s="39"/>
      <c r="I105" s="39"/>
      <c r="J105" s="39"/>
    </row>
    <row r="106" customFormat="false" ht="15" hidden="false" customHeight="false" outlineLevel="0" collapsed="false">
      <c r="B106" s="36" t="n">
        <f aca="false">Inputs!$C$15+101</f>
        <v>46338</v>
      </c>
      <c r="C106" s="37" t="n">
        <v>15</v>
      </c>
      <c r="D106" s="26" t="s">
        <v>159</v>
      </c>
      <c r="E106" s="38" t="s">
        <v>96</v>
      </c>
      <c r="F106" s="26" t="s">
        <v>113</v>
      </c>
      <c r="G106" s="39"/>
      <c r="H106" s="39"/>
      <c r="I106" s="39"/>
      <c r="J106" s="39"/>
    </row>
    <row r="107" customFormat="false" ht="15" hidden="false" customHeight="false" outlineLevel="0" collapsed="false">
      <c r="B107" s="36" t="n">
        <f aca="false">Inputs!$C$15+102</f>
        <v>46339</v>
      </c>
      <c r="C107" s="37" t="n">
        <v>15</v>
      </c>
      <c r="D107" s="26" t="s">
        <v>159</v>
      </c>
      <c r="E107" s="38" t="s">
        <v>85</v>
      </c>
      <c r="F107" s="26" t="s">
        <v>152</v>
      </c>
      <c r="G107" s="39"/>
      <c r="H107" s="39"/>
      <c r="I107" s="39"/>
      <c r="J107" s="39"/>
    </row>
    <row r="108" customFormat="false" ht="23.85" hidden="false" customHeight="false" outlineLevel="0" collapsed="false">
      <c r="B108" s="36" t="n">
        <f aca="false">Inputs!$C$15+103</f>
        <v>46340</v>
      </c>
      <c r="C108" s="37" t="n">
        <v>15</v>
      </c>
      <c r="D108" s="26" t="s">
        <v>159</v>
      </c>
      <c r="E108" s="38" t="s">
        <v>288</v>
      </c>
      <c r="F108" s="26" t="s">
        <v>161</v>
      </c>
      <c r="G108" s="39"/>
      <c r="H108" s="39"/>
      <c r="I108" s="39"/>
      <c r="J108" s="39"/>
    </row>
    <row r="109" customFormat="false" ht="15" hidden="false" customHeight="false" outlineLevel="0" collapsed="false">
      <c r="B109" s="36" t="n">
        <f aca="false">Inputs!$C$15+104</f>
        <v>46341</v>
      </c>
      <c r="C109" s="37" t="n">
        <v>15</v>
      </c>
      <c r="D109" s="26" t="s">
        <v>159</v>
      </c>
      <c r="E109" s="38" t="s">
        <v>98</v>
      </c>
      <c r="F109" s="26" t="s">
        <v>105</v>
      </c>
      <c r="G109" s="39"/>
      <c r="H109" s="39"/>
      <c r="I109" s="39"/>
      <c r="J109" s="39"/>
    </row>
    <row r="110" customFormat="false" ht="15" hidden="false" customHeight="false" outlineLevel="0" collapsed="false">
      <c r="B110" s="40" t="n">
        <f aca="false">Inputs!$C$15+105</f>
        <v>46342</v>
      </c>
      <c r="C110" s="41" t="n">
        <v>16</v>
      </c>
      <c r="D110" s="30" t="s">
        <v>163</v>
      </c>
      <c r="E110" s="42" t="s">
        <v>95</v>
      </c>
      <c r="F110" s="30" t="s">
        <v>113</v>
      </c>
      <c r="G110" s="39"/>
      <c r="H110" s="39"/>
      <c r="I110" s="39"/>
      <c r="J110" s="39"/>
    </row>
    <row r="111" customFormat="false" ht="15" hidden="false" customHeight="false" outlineLevel="0" collapsed="false">
      <c r="B111" s="40" t="n">
        <f aca="false">Inputs!$C$15+106</f>
        <v>46343</v>
      </c>
      <c r="C111" s="41" t="n">
        <v>16</v>
      </c>
      <c r="D111" s="30" t="s">
        <v>163</v>
      </c>
      <c r="E111" s="42" t="s">
        <v>83</v>
      </c>
      <c r="F111" s="30" t="s">
        <v>141</v>
      </c>
      <c r="G111" s="39"/>
      <c r="H111" s="39"/>
      <c r="I111" s="39"/>
      <c r="J111" s="39"/>
    </row>
    <row r="112" customFormat="false" ht="15" hidden="false" customHeight="false" outlineLevel="0" collapsed="false">
      <c r="B112" s="40" t="n">
        <f aca="false">Inputs!$C$15+107</f>
        <v>46344</v>
      </c>
      <c r="C112" s="41" t="n">
        <v>16</v>
      </c>
      <c r="D112" s="30" t="s">
        <v>163</v>
      </c>
      <c r="E112" s="42" t="s">
        <v>287</v>
      </c>
      <c r="F112" s="30" t="s">
        <v>164</v>
      </c>
      <c r="G112" s="39"/>
      <c r="H112" s="39"/>
      <c r="I112" s="39"/>
      <c r="J112" s="39"/>
    </row>
    <row r="113" customFormat="false" ht="15" hidden="false" customHeight="false" outlineLevel="0" collapsed="false">
      <c r="B113" s="40" t="n">
        <f aca="false">Inputs!$C$15+108</f>
        <v>46345</v>
      </c>
      <c r="C113" s="41" t="n">
        <v>16</v>
      </c>
      <c r="D113" s="30" t="s">
        <v>163</v>
      </c>
      <c r="E113" s="42" t="s">
        <v>96</v>
      </c>
      <c r="F113" s="30" t="s">
        <v>113</v>
      </c>
      <c r="G113" s="39"/>
      <c r="H113" s="39"/>
      <c r="I113" s="39"/>
      <c r="J113" s="39"/>
    </row>
    <row r="114" customFormat="false" ht="15" hidden="false" customHeight="false" outlineLevel="0" collapsed="false">
      <c r="B114" s="40" t="n">
        <f aca="false">Inputs!$C$15+109</f>
        <v>46346</v>
      </c>
      <c r="C114" s="41" t="n">
        <v>16</v>
      </c>
      <c r="D114" s="30" t="s">
        <v>163</v>
      </c>
      <c r="E114" s="42" t="s">
        <v>85</v>
      </c>
      <c r="F114" s="30" t="s">
        <v>152</v>
      </c>
      <c r="G114" s="39"/>
      <c r="H114" s="39"/>
      <c r="I114" s="39"/>
      <c r="J114" s="39"/>
    </row>
    <row r="115" customFormat="false" ht="23.85" hidden="false" customHeight="false" outlineLevel="0" collapsed="false">
      <c r="B115" s="40" t="n">
        <f aca="false">Inputs!$C$15+110</f>
        <v>46347</v>
      </c>
      <c r="C115" s="41" t="n">
        <v>16</v>
      </c>
      <c r="D115" s="30" t="s">
        <v>163</v>
      </c>
      <c r="E115" s="42" t="s">
        <v>288</v>
      </c>
      <c r="F115" s="30" t="s">
        <v>161</v>
      </c>
      <c r="G115" s="39"/>
      <c r="H115" s="39"/>
      <c r="I115" s="39"/>
      <c r="J115" s="39"/>
    </row>
    <row r="116" customFormat="false" ht="15" hidden="false" customHeight="false" outlineLevel="0" collapsed="false">
      <c r="B116" s="40" t="n">
        <f aca="false">Inputs!$C$15+111</f>
        <v>46348</v>
      </c>
      <c r="C116" s="41" t="n">
        <v>16</v>
      </c>
      <c r="D116" s="30" t="s">
        <v>163</v>
      </c>
      <c r="E116" s="42" t="s">
        <v>98</v>
      </c>
      <c r="F116" s="30" t="s">
        <v>105</v>
      </c>
      <c r="G116" s="39"/>
      <c r="H116" s="39"/>
      <c r="I116" s="39"/>
      <c r="J116" s="39"/>
    </row>
    <row r="117" customFormat="false" ht="15" hidden="false" customHeight="false" outlineLevel="0" collapsed="false">
      <c r="B117" s="36" t="n">
        <f aca="false">Inputs!$C$15+112</f>
        <v>46349</v>
      </c>
      <c r="C117" s="37" t="n">
        <v>17</v>
      </c>
      <c r="D117" s="26" t="s">
        <v>166</v>
      </c>
      <c r="E117" s="38" t="s">
        <v>95</v>
      </c>
      <c r="F117" s="26" t="s">
        <v>113</v>
      </c>
      <c r="G117" s="39"/>
      <c r="H117" s="39"/>
      <c r="I117" s="39"/>
      <c r="J117" s="39"/>
    </row>
    <row r="118" customFormat="false" ht="15" hidden="false" customHeight="false" outlineLevel="0" collapsed="false">
      <c r="B118" s="36" t="n">
        <f aca="false">Inputs!$C$15+113</f>
        <v>46350</v>
      </c>
      <c r="C118" s="37" t="n">
        <v>17</v>
      </c>
      <c r="D118" s="26" t="s">
        <v>166</v>
      </c>
      <c r="E118" s="38" t="s">
        <v>83</v>
      </c>
      <c r="F118" s="26" t="s">
        <v>141</v>
      </c>
      <c r="G118" s="39"/>
      <c r="H118" s="39"/>
      <c r="I118" s="39"/>
      <c r="J118" s="39"/>
    </row>
    <row r="119" customFormat="false" ht="15" hidden="false" customHeight="false" outlineLevel="0" collapsed="false">
      <c r="B119" s="36" t="n">
        <f aca="false">Inputs!$C$15+114</f>
        <v>46351</v>
      </c>
      <c r="C119" s="37" t="n">
        <v>17</v>
      </c>
      <c r="D119" s="26" t="s">
        <v>166</v>
      </c>
      <c r="E119" s="38" t="s">
        <v>287</v>
      </c>
      <c r="F119" s="26" t="s">
        <v>167</v>
      </c>
      <c r="G119" s="39"/>
      <c r="H119" s="39"/>
      <c r="I119" s="39"/>
      <c r="J119" s="39"/>
    </row>
    <row r="120" customFormat="false" ht="15" hidden="false" customHeight="false" outlineLevel="0" collapsed="false">
      <c r="B120" s="36" t="n">
        <f aca="false">Inputs!$C$15+115</f>
        <v>46352</v>
      </c>
      <c r="C120" s="37" t="n">
        <v>17</v>
      </c>
      <c r="D120" s="26" t="s">
        <v>166</v>
      </c>
      <c r="E120" s="38" t="s">
        <v>96</v>
      </c>
      <c r="F120" s="26" t="s">
        <v>113</v>
      </c>
      <c r="G120" s="39"/>
      <c r="H120" s="39"/>
      <c r="I120" s="39"/>
      <c r="J120" s="39"/>
    </row>
    <row r="121" customFormat="false" ht="15" hidden="false" customHeight="false" outlineLevel="0" collapsed="false">
      <c r="B121" s="36" t="n">
        <f aca="false">Inputs!$C$15+116</f>
        <v>46353</v>
      </c>
      <c r="C121" s="37" t="n">
        <v>17</v>
      </c>
      <c r="D121" s="26" t="s">
        <v>166</v>
      </c>
      <c r="E121" s="38" t="s">
        <v>85</v>
      </c>
      <c r="F121" s="26" t="s">
        <v>152</v>
      </c>
      <c r="G121" s="39"/>
      <c r="H121" s="39"/>
      <c r="I121" s="39"/>
      <c r="J121" s="39"/>
    </row>
    <row r="122" customFormat="false" ht="23.85" hidden="false" customHeight="false" outlineLevel="0" collapsed="false">
      <c r="B122" s="36" t="n">
        <f aca="false">Inputs!$C$15+117</f>
        <v>46354</v>
      </c>
      <c r="C122" s="37" t="n">
        <v>17</v>
      </c>
      <c r="D122" s="26" t="s">
        <v>166</v>
      </c>
      <c r="E122" s="38" t="s">
        <v>288</v>
      </c>
      <c r="F122" s="26" t="s">
        <v>168</v>
      </c>
      <c r="G122" s="39"/>
      <c r="H122" s="39"/>
      <c r="I122" s="39"/>
      <c r="J122" s="39"/>
    </row>
    <row r="123" customFormat="false" ht="15" hidden="false" customHeight="false" outlineLevel="0" collapsed="false">
      <c r="B123" s="36" t="n">
        <f aca="false">Inputs!$C$15+118</f>
        <v>46355</v>
      </c>
      <c r="C123" s="37" t="n">
        <v>17</v>
      </c>
      <c r="D123" s="26" t="s">
        <v>166</v>
      </c>
      <c r="E123" s="38" t="s">
        <v>98</v>
      </c>
      <c r="F123" s="26" t="s">
        <v>105</v>
      </c>
      <c r="G123" s="39"/>
      <c r="H123" s="39"/>
      <c r="I123" s="39"/>
      <c r="J123" s="39"/>
    </row>
    <row r="124" customFormat="false" ht="15" hidden="false" customHeight="false" outlineLevel="0" collapsed="false">
      <c r="B124" s="40" t="n">
        <f aca="false">Inputs!$C$15+119</f>
        <v>46356</v>
      </c>
      <c r="C124" s="41" t="n">
        <v>18</v>
      </c>
      <c r="D124" s="30" t="s">
        <v>170</v>
      </c>
      <c r="E124" s="42" t="s">
        <v>95</v>
      </c>
      <c r="F124" s="30" t="s">
        <v>113</v>
      </c>
      <c r="G124" s="39"/>
      <c r="H124" s="39"/>
      <c r="I124" s="39"/>
      <c r="J124" s="39"/>
    </row>
    <row r="125" customFormat="false" ht="15" hidden="false" customHeight="false" outlineLevel="0" collapsed="false">
      <c r="B125" s="40" t="n">
        <f aca="false">Inputs!$C$15+120</f>
        <v>46357</v>
      </c>
      <c r="C125" s="41" t="n">
        <v>18</v>
      </c>
      <c r="D125" s="30" t="s">
        <v>170</v>
      </c>
      <c r="E125" s="42" t="s">
        <v>83</v>
      </c>
      <c r="F125" s="30" t="s">
        <v>141</v>
      </c>
      <c r="G125" s="39"/>
      <c r="H125" s="39"/>
      <c r="I125" s="39"/>
      <c r="J125" s="39"/>
    </row>
    <row r="126" customFormat="false" ht="15" hidden="false" customHeight="false" outlineLevel="0" collapsed="false">
      <c r="B126" s="40" t="n">
        <f aca="false">Inputs!$C$15+121</f>
        <v>46358</v>
      </c>
      <c r="C126" s="41" t="n">
        <v>18</v>
      </c>
      <c r="D126" s="30" t="s">
        <v>170</v>
      </c>
      <c r="E126" s="42" t="s">
        <v>287</v>
      </c>
      <c r="F126" s="30" t="s">
        <v>171</v>
      </c>
      <c r="G126" s="39"/>
      <c r="H126" s="39"/>
      <c r="I126" s="39"/>
      <c r="J126" s="39"/>
    </row>
    <row r="127" customFormat="false" ht="15" hidden="false" customHeight="false" outlineLevel="0" collapsed="false">
      <c r="B127" s="40" t="n">
        <f aca="false">Inputs!$C$15+122</f>
        <v>46359</v>
      </c>
      <c r="C127" s="41" t="n">
        <v>18</v>
      </c>
      <c r="D127" s="30" t="s">
        <v>170</v>
      </c>
      <c r="E127" s="42" t="s">
        <v>96</v>
      </c>
      <c r="F127" s="30" t="s">
        <v>113</v>
      </c>
      <c r="G127" s="39"/>
      <c r="H127" s="39"/>
      <c r="I127" s="39"/>
      <c r="J127" s="39"/>
    </row>
    <row r="128" customFormat="false" ht="15" hidden="false" customHeight="false" outlineLevel="0" collapsed="false">
      <c r="B128" s="40" t="n">
        <f aca="false">Inputs!$C$15+123</f>
        <v>46360</v>
      </c>
      <c r="C128" s="41" t="n">
        <v>18</v>
      </c>
      <c r="D128" s="30" t="s">
        <v>170</v>
      </c>
      <c r="E128" s="42" t="s">
        <v>85</v>
      </c>
      <c r="F128" s="30" t="s">
        <v>152</v>
      </c>
      <c r="G128" s="39"/>
      <c r="H128" s="39"/>
      <c r="I128" s="39"/>
      <c r="J128" s="39"/>
    </row>
    <row r="129" customFormat="false" ht="23.85" hidden="false" customHeight="false" outlineLevel="0" collapsed="false">
      <c r="B129" s="40" t="n">
        <f aca="false">Inputs!$C$15+124</f>
        <v>46361</v>
      </c>
      <c r="C129" s="41" t="n">
        <v>18</v>
      </c>
      <c r="D129" s="30" t="s">
        <v>170</v>
      </c>
      <c r="E129" s="42" t="s">
        <v>288</v>
      </c>
      <c r="F129" s="30" t="s">
        <v>168</v>
      </c>
      <c r="G129" s="39"/>
      <c r="H129" s="39"/>
      <c r="I129" s="39"/>
      <c r="J129" s="39"/>
    </row>
    <row r="130" customFormat="false" ht="15" hidden="false" customHeight="false" outlineLevel="0" collapsed="false">
      <c r="B130" s="40" t="n">
        <f aca="false">Inputs!$C$15+125</f>
        <v>46362</v>
      </c>
      <c r="C130" s="41" t="n">
        <v>18</v>
      </c>
      <c r="D130" s="30" t="s">
        <v>170</v>
      </c>
      <c r="E130" s="42" t="s">
        <v>98</v>
      </c>
      <c r="F130" s="30" t="s">
        <v>105</v>
      </c>
      <c r="G130" s="39"/>
      <c r="H130" s="39"/>
      <c r="I130" s="39"/>
      <c r="J130" s="39"/>
    </row>
    <row r="131" customFormat="false" ht="15" hidden="false" customHeight="false" outlineLevel="0" collapsed="false">
      <c r="B131" s="36" t="n">
        <f aca="false">Inputs!$C$15+126</f>
        <v>46363</v>
      </c>
      <c r="C131" s="37" t="n">
        <v>19</v>
      </c>
      <c r="D131" s="26" t="s">
        <v>173</v>
      </c>
      <c r="E131" s="38" t="s">
        <v>95</v>
      </c>
      <c r="F131" s="26" t="s">
        <v>113</v>
      </c>
      <c r="G131" s="39"/>
      <c r="H131" s="39"/>
      <c r="I131" s="39"/>
      <c r="J131" s="39"/>
    </row>
    <row r="132" customFormat="false" ht="15" hidden="false" customHeight="false" outlineLevel="0" collapsed="false">
      <c r="B132" s="36" t="n">
        <f aca="false">Inputs!$C$15+127</f>
        <v>46364</v>
      </c>
      <c r="C132" s="37" t="n">
        <v>19</v>
      </c>
      <c r="D132" s="26" t="s">
        <v>173</v>
      </c>
      <c r="E132" s="38" t="s">
        <v>83</v>
      </c>
      <c r="F132" s="26" t="s">
        <v>141</v>
      </c>
      <c r="G132" s="39"/>
      <c r="H132" s="39"/>
      <c r="I132" s="39"/>
      <c r="J132" s="39"/>
    </row>
    <row r="133" customFormat="false" ht="23.85" hidden="false" customHeight="false" outlineLevel="0" collapsed="false">
      <c r="B133" s="36" t="n">
        <f aca="false">Inputs!$C$15+128</f>
        <v>46365</v>
      </c>
      <c r="C133" s="37" t="n">
        <v>19</v>
      </c>
      <c r="D133" s="26" t="s">
        <v>173</v>
      </c>
      <c r="E133" s="38" t="s">
        <v>287</v>
      </c>
      <c r="F133" s="26" t="s">
        <v>174</v>
      </c>
      <c r="G133" s="39"/>
      <c r="H133" s="39"/>
      <c r="I133" s="39"/>
      <c r="J133" s="39"/>
    </row>
    <row r="134" customFormat="false" ht="15" hidden="false" customHeight="false" outlineLevel="0" collapsed="false">
      <c r="B134" s="36" t="n">
        <f aca="false">Inputs!$C$15+129</f>
        <v>46366</v>
      </c>
      <c r="C134" s="37" t="n">
        <v>19</v>
      </c>
      <c r="D134" s="26" t="s">
        <v>173</v>
      </c>
      <c r="E134" s="38" t="s">
        <v>96</v>
      </c>
      <c r="F134" s="26" t="s">
        <v>113</v>
      </c>
      <c r="G134" s="39"/>
      <c r="H134" s="39"/>
      <c r="I134" s="39"/>
      <c r="J134" s="39"/>
    </row>
    <row r="135" customFormat="false" ht="15" hidden="false" customHeight="false" outlineLevel="0" collapsed="false">
      <c r="B135" s="36" t="n">
        <f aca="false">Inputs!$C$15+130</f>
        <v>46367</v>
      </c>
      <c r="C135" s="37" t="n">
        <v>19</v>
      </c>
      <c r="D135" s="26" t="s">
        <v>173</v>
      </c>
      <c r="E135" s="38" t="s">
        <v>85</v>
      </c>
      <c r="F135" s="26" t="s">
        <v>152</v>
      </c>
      <c r="G135" s="39"/>
      <c r="H135" s="39"/>
      <c r="I135" s="39"/>
      <c r="J135" s="39"/>
    </row>
    <row r="136" customFormat="false" ht="23.85" hidden="false" customHeight="false" outlineLevel="0" collapsed="false">
      <c r="B136" s="36" t="n">
        <f aca="false">Inputs!$C$15+131</f>
        <v>46368</v>
      </c>
      <c r="C136" s="37" t="n">
        <v>19</v>
      </c>
      <c r="D136" s="26" t="s">
        <v>173</v>
      </c>
      <c r="E136" s="38" t="s">
        <v>288</v>
      </c>
      <c r="F136" s="26" t="s">
        <v>168</v>
      </c>
      <c r="G136" s="39"/>
      <c r="H136" s="39"/>
      <c r="I136" s="39"/>
      <c r="J136" s="39"/>
    </row>
    <row r="137" customFormat="false" ht="15" hidden="false" customHeight="false" outlineLevel="0" collapsed="false">
      <c r="B137" s="36" t="n">
        <f aca="false">Inputs!$C$15+132</f>
        <v>46369</v>
      </c>
      <c r="C137" s="37" t="n">
        <v>19</v>
      </c>
      <c r="D137" s="26" t="s">
        <v>173</v>
      </c>
      <c r="E137" s="38" t="s">
        <v>98</v>
      </c>
      <c r="F137" s="26" t="s">
        <v>105</v>
      </c>
      <c r="G137" s="39"/>
      <c r="H137" s="39"/>
      <c r="I137" s="39"/>
      <c r="J137" s="39"/>
    </row>
    <row r="138" customFormat="false" ht="15" hidden="false" customHeight="false" outlineLevel="0" collapsed="false">
      <c r="B138" s="40" t="n">
        <f aca="false">Inputs!$C$15+133</f>
        <v>46370</v>
      </c>
      <c r="C138" s="41" t="n">
        <v>20</v>
      </c>
      <c r="D138" s="30" t="s">
        <v>176</v>
      </c>
      <c r="E138" s="42" t="s">
        <v>95</v>
      </c>
      <c r="F138" s="30" t="s">
        <v>113</v>
      </c>
      <c r="G138" s="39"/>
      <c r="H138" s="39"/>
      <c r="I138" s="39"/>
      <c r="J138" s="39"/>
    </row>
    <row r="139" customFormat="false" ht="15" hidden="false" customHeight="false" outlineLevel="0" collapsed="false">
      <c r="B139" s="40" t="n">
        <f aca="false">Inputs!$C$15+134</f>
        <v>46371</v>
      </c>
      <c r="C139" s="41" t="n">
        <v>20</v>
      </c>
      <c r="D139" s="30" t="s">
        <v>176</v>
      </c>
      <c r="E139" s="42" t="s">
        <v>83</v>
      </c>
      <c r="F139" s="30" t="s">
        <v>141</v>
      </c>
      <c r="G139" s="39"/>
      <c r="H139" s="39"/>
      <c r="I139" s="39"/>
      <c r="J139" s="39"/>
    </row>
    <row r="140" customFormat="false" ht="23.85" hidden="false" customHeight="false" outlineLevel="0" collapsed="false">
      <c r="B140" s="40" t="n">
        <f aca="false">Inputs!$C$15+135</f>
        <v>46372</v>
      </c>
      <c r="C140" s="41" t="n">
        <v>20</v>
      </c>
      <c r="D140" s="30" t="s">
        <v>176</v>
      </c>
      <c r="E140" s="42" t="s">
        <v>287</v>
      </c>
      <c r="F140" s="30" t="s">
        <v>177</v>
      </c>
      <c r="G140" s="39"/>
      <c r="H140" s="39"/>
      <c r="I140" s="39"/>
      <c r="J140" s="39"/>
    </row>
    <row r="141" customFormat="false" ht="15" hidden="false" customHeight="false" outlineLevel="0" collapsed="false">
      <c r="B141" s="40" t="n">
        <f aca="false">Inputs!$C$15+136</f>
        <v>46373</v>
      </c>
      <c r="C141" s="41" t="n">
        <v>20</v>
      </c>
      <c r="D141" s="30" t="s">
        <v>176</v>
      </c>
      <c r="E141" s="42" t="s">
        <v>96</v>
      </c>
      <c r="F141" s="30" t="s">
        <v>113</v>
      </c>
      <c r="G141" s="39"/>
      <c r="H141" s="39"/>
      <c r="I141" s="39"/>
      <c r="J141" s="39"/>
    </row>
    <row r="142" customFormat="false" ht="15" hidden="false" customHeight="false" outlineLevel="0" collapsed="false">
      <c r="B142" s="40" t="n">
        <f aca="false">Inputs!$C$15+137</f>
        <v>46374</v>
      </c>
      <c r="C142" s="41" t="n">
        <v>20</v>
      </c>
      <c r="D142" s="30" t="s">
        <v>176</v>
      </c>
      <c r="E142" s="42" t="s">
        <v>85</v>
      </c>
      <c r="F142" s="30" t="s">
        <v>152</v>
      </c>
      <c r="G142" s="39"/>
      <c r="H142" s="39"/>
      <c r="I142" s="39"/>
      <c r="J142" s="39"/>
    </row>
    <row r="143" customFormat="false" ht="23.85" hidden="false" customHeight="false" outlineLevel="0" collapsed="false">
      <c r="B143" s="40" t="n">
        <f aca="false">Inputs!$C$15+138</f>
        <v>46375</v>
      </c>
      <c r="C143" s="41" t="n">
        <v>20</v>
      </c>
      <c r="D143" s="30" t="s">
        <v>176</v>
      </c>
      <c r="E143" s="42" t="s">
        <v>288</v>
      </c>
      <c r="F143" s="30" t="s">
        <v>168</v>
      </c>
      <c r="G143" s="39"/>
      <c r="H143" s="39"/>
      <c r="I143" s="39"/>
      <c r="J143" s="39"/>
    </row>
    <row r="144" customFormat="false" ht="15" hidden="false" customHeight="false" outlineLevel="0" collapsed="false">
      <c r="B144" s="40" t="n">
        <f aca="false">Inputs!$C$15+139</f>
        <v>46376</v>
      </c>
      <c r="C144" s="41" t="n">
        <v>20</v>
      </c>
      <c r="D144" s="30" t="s">
        <v>176</v>
      </c>
      <c r="E144" s="42" t="s">
        <v>98</v>
      </c>
      <c r="F144" s="30" t="s">
        <v>105</v>
      </c>
      <c r="G144" s="39"/>
      <c r="H144" s="39"/>
      <c r="I144" s="39"/>
      <c r="J144" s="39"/>
    </row>
    <row r="146" customFormat="false" ht="15" hidden="false" customHeight="true" outlineLevel="0" collapsed="false">
      <c r="B146" s="3" t="s">
        <v>289</v>
      </c>
      <c r="C146" s="16" t="s">
        <v>290</v>
      </c>
      <c r="D146" s="16"/>
      <c r="E146" s="16"/>
      <c r="F146" s="16"/>
      <c r="G146" s="16"/>
      <c r="H146" s="16"/>
      <c r="I146" s="16"/>
      <c r="J146" s="16"/>
    </row>
  </sheetData>
  <mergeCells count="1">
    <mergeCell ref="C146:J146"/>
  </mergeCells>
  <dataValidations count="1">
    <dataValidation allowBlank="true" errorStyle="stop" operator="between" showDropDown="false" showErrorMessage="false" showInputMessage="false" sqref="G5:G144" type="list">
      <formula1>"Completed,Modified,Missed,Planned"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2026-07-23T16:05:07Z</dcterms:created>
  <dc:creator>openpyxl</dc:creator>
  <dc:description/>
  <dc:language>en-US</dc:language>
  <cp:lastModifiedBy/>
  <dcterms:modified xsi:type="dcterms:W3CDTF">2026-07-23T16:05:07Z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