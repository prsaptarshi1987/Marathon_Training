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jornNatwick\Downloads\"/>
    </mc:Choice>
  </mc:AlternateContent>
  <xr:revisionPtr revIDLastSave="0" documentId="13_ncr:1_{5BC96C2C-A922-4BED-BC10-7B6A625CFB0C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Cover" sheetId="1" r:id="rId1"/>
    <sheet name="Inputs" sheetId="2" r:id="rId2"/>
    <sheet name="Dashboard" sheetId="3" r:id="rId3"/>
    <sheet name="SB Calendar" sheetId="4" r:id="rId4"/>
    <sheet name="Workout Library" sheetId="5" r:id="rId5"/>
    <sheet name="Paces &amp; Race Predictor" sheetId="6" r:id="rId6"/>
    <sheet name="Coach Philosophy" sheetId="7" r:id="rId7"/>
    <sheet name="Progress Log" sheetId="8" r:id="rId8"/>
  </sheets>
  <definedNames>
    <definedName name="EasyMinOvr">Inputs!$C$11</definedName>
    <definedName name="EasySecOvr">Inputs!$C$12</definedName>
    <definedName name="EndDate">Inputs!$C$17</definedName>
    <definedName name="RaceDate">Inputs!$C$16</definedName>
    <definedName name="StartDate">Inputs!$C$15</definedName>
    <definedName name="T_min">Inputs!$C$9</definedName>
    <definedName name="T_sec">Inputs!$C$10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7" i="8" l="1"/>
  <c r="B116" i="8"/>
  <c r="B115" i="8"/>
  <c r="B114" i="8"/>
  <c r="B113" i="8"/>
  <c r="B112" i="8"/>
  <c r="B111" i="8"/>
  <c r="B110" i="8"/>
  <c r="B109" i="8"/>
  <c r="B108" i="8"/>
  <c r="B107" i="8"/>
  <c r="B106" i="8"/>
  <c r="B105" i="8"/>
  <c r="B104" i="8"/>
  <c r="B103" i="8"/>
  <c r="B102" i="8"/>
  <c r="B101" i="8"/>
  <c r="B100" i="8"/>
  <c r="B99" i="8"/>
  <c r="B98" i="8"/>
  <c r="B97" i="8"/>
  <c r="B96" i="8"/>
  <c r="B95" i="8"/>
  <c r="B94" i="8"/>
  <c r="B93" i="8"/>
  <c r="B92" i="8"/>
  <c r="B91" i="8"/>
  <c r="B90" i="8"/>
  <c r="B89" i="8"/>
  <c r="B88" i="8"/>
  <c r="B87" i="8"/>
  <c r="B86" i="8"/>
  <c r="B85" i="8"/>
  <c r="B84" i="8"/>
  <c r="B83" i="8"/>
  <c r="B82" i="8"/>
  <c r="B81" i="8"/>
  <c r="B80" i="8"/>
  <c r="B79" i="8"/>
  <c r="B78" i="8"/>
  <c r="B77" i="8"/>
  <c r="B76" i="8"/>
  <c r="B75" i="8"/>
  <c r="B74" i="8"/>
  <c r="B73" i="8"/>
  <c r="B72" i="8"/>
  <c r="B71" i="8"/>
  <c r="B70" i="8"/>
  <c r="B69" i="8"/>
  <c r="B68" i="8"/>
  <c r="B67" i="8"/>
  <c r="B66" i="8"/>
  <c r="B65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E29" i="6"/>
  <c r="D29" i="6"/>
  <c r="E28" i="6"/>
  <c r="D28" i="6"/>
  <c r="E27" i="6"/>
  <c r="D27" i="6"/>
  <c r="E26" i="6"/>
  <c r="D26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J48" i="3"/>
  <c r="J47" i="3"/>
  <c r="J46" i="3"/>
  <c r="J45" i="3"/>
  <c r="D20" i="3"/>
  <c r="C20" i="3"/>
  <c r="D19" i="3"/>
  <c r="C19" i="3"/>
  <c r="D18" i="3"/>
  <c r="C18" i="3"/>
  <c r="D17" i="3"/>
  <c r="C17" i="3"/>
  <c r="C13" i="3"/>
  <c r="C12" i="3"/>
  <c r="B9" i="3"/>
  <c r="F6" i="3"/>
  <c r="D6" i="3"/>
  <c r="B6" i="3"/>
  <c r="C17" i="2"/>
  <c r="C16" i="2"/>
  <c r="D9" i="3" s="1"/>
  <c r="F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100-000001000000}">
      <text>
        <r>
          <rPr>
            <sz val="10"/>
            <rFont val="Arial"/>
            <family val="2"/>
          </rPr>
          <t>T = effort you could hold in a 1-HOUR race today.
≈ current 10-mile pace, or ~7 sec/mi faster than HM pace.
NOT lactate threshold. NOT Daniels V-dot. Effort-based.
Enter integer minutes.</t>
        </r>
      </text>
    </comment>
    <comment ref="C10" authorId="0" shapeId="0" xr:uid="{00000000-0006-0000-0100-000002000000}">
      <text>
        <r>
          <rPr>
            <sz val="10"/>
            <rFont val="Arial"/>
            <family val="2"/>
          </rPr>
          <t>Integer 0-59.</t>
        </r>
      </text>
    </comment>
    <comment ref="C11" authorId="0" shapeId="0" xr:uid="{00000000-0006-0000-0100-000003000000}">
      <text>
        <r>
          <rPr>
            <sz val="10"/>
            <rFont val="Arial"/>
            <family val="2"/>
          </rPr>
          <t>Optional. Leave blank to use T+60 sec/mi.</t>
        </r>
      </text>
    </comment>
    <comment ref="C15" authorId="0" shapeId="0" xr:uid="{00000000-0006-0000-0100-000004000000}">
      <text>
        <r>
          <rPr>
            <sz val="10"/>
            <rFont val="Arial"/>
            <family val="2"/>
          </rPr>
          <t>The Monday your plan starts. Every calendar and progress-log date recalculates from here — change this and the plan shifts as a unit.</t>
        </r>
      </text>
    </comment>
    <comment ref="C16" authorId="0" shapeId="0" xr:uid="{00000000-0006-0000-0100-000005000000}">
      <text>
        <r>
          <rPr>
            <sz val="10"/>
            <rFont val="Arial"/>
            <family val="2"/>
          </rPr>
          <t>Auto-calculated: Start Date + 103 days (14 weeks Super Base + Saturday of taper week).</t>
        </r>
      </text>
    </comment>
    <comment ref="C17" authorId="0" shapeId="0" xr:uid="{00000000-0006-0000-0100-000006000000}">
      <text>
        <r>
          <rPr>
            <sz val="10"/>
            <rFont val="Arial"/>
            <family val="2"/>
          </rPr>
          <t>Auto-calculated: Start Date + 111 days (end of recovery week).</t>
        </r>
      </text>
    </comment>
  </commentList>
</comments>
</file>

<file path=xl/sharedStrings.xml><?xml version="1.0" encoding="utf-8"?>
<sst xmlns="http://schemas.openxmlformats.org/spreadsheetml/2006/main" count="840" uniqueCount="341">
  <si>
    <t>The Stablemaster's blueprint — Super Base phase, 14 weeks + taper + recovery</t>
  </si>
  <si>
    <t>Workbook</t>
  </si>
  <si>
    <t>Phase Roadmap</t>
  </si>
  <si>
    <t>Version</t>
  </si>
  <si>
    <t>1.1.1</t>
  </si>
  <si>
    <t>Foundation</t>
  </si>
  <si>
    <t>○ Future</t>
  </si>
  <si>
    <t>Build date</t>
  </si>
  <si>
    <t>July 19, 2026</t>
  </si>
  <si>
    <t>Pre-Super Base</t>
  </si>
  <si>
    <t>Phase implemented</t>
  </si>
  <si>
    <t>✓ Super Base</t>
  </si>
  <si>
    <t>Super Base</t>
  </si>
  <si>
    <t>● v1.1.1 (implemented)</t>
  </si>
  <si>
    <t>Structure</t>
  </si>
  <si>
    <t>14 wk Super Base + 1 wk taper/race + 1 wk recovery</t>
  </si>
  <si>
    <t>Marathon Bridge</t>
  </si>
  <si>
    <t>Weekly rhythm</t>
  </si>
  <si>
    <t>4 runs (Tue/Wed/Fri/Sat) + 3 rest days</t>
  </si>
  <si>
    <t>Marathon Specific</t>
  </si>
  <si>
    <t>Anchor pace</t>
  </si>
  <si>
    <t>T (1-hour tempo effort)</t>
  </si>
  <si>
    <t>Taper</t>
  </si>
  <si>
    <t>○ Future (full block)</t>
  </si>
  <si>
    <t>Recovery</t>
  </si>
  <si>
    <t>Coach Philosophy — the short version</t>
  </si>
  <si>
    <t>• Training is putting money in the bank. Racing is spending it. Race for purpose.</t>
  </si>
  <si>
    <t>• Stimulate, don't annihilate. Finish every session feeling you could do 1-2 more reps.</t>
  </si>
  <si>
    <t>• The Super Base is the foundation — the hole in the ground, not the paint on the wall.</t>
  </si>
  <si>
    <t>• Effort &gt; pace. Run by feel. T is what you could hold for a 1-hour race today.</t>
  </si>
  <si>
    <t>• The Endurance Spine is the cement that mortises the interstices. Never race it.</t>
  </si>
  <si>
    <t>• Down the V, get 5 sec/mi faster each session. Up the V, HOLD the faster pace.</t>
  </si>
  <si>
    <t>• Rest is training. Three rest days a week is a feature, not a bug.</t>
  </si>
  <si>
    <t>Navigate</t>
  </si>
  <si>
    <t>Inputs</t>
  </si>
  <si>
    <t>→</t>
  </si>
  <si>
    <t>Dashboard</t>
  </si>
  <si>
    <t>SB Calendar</t>
  </si>
  <si>
    <t>Workout Library</t>
  </si>
  <si>
    <t>Paces &amp; Race Predictor</t>
  </si>
  <si>
    <t>Coach Philosophy</t>
  </si>
  <si>
    <t>Progress Log</t>
  </si>
  <si>
    <t>Yellow cells are yours to edit. Everything else — dates, paces, dashboard KPIs, predictions — derives from these.</t>
  </si>
  <si>
    <t>Athlete</t>
  </si>
  <si>
    <t>How this workbook flows</t>
  </si>
  <si>
    <t>Name</t>
  </si>
  <si>
    <t>Bjorn</t>
  </si>
  <si>
    <t>1. Inputs — Set your T pace and start date here. Everything else derives from these.</t>
  </si>
  <si>
    <t>2. Dashboard — See where you are today: current week, phase, and workout.</t>
  </si>
  <si>
    <t>Pace</t>
  </si>
  <si>
    <t>3. SB Calendar — The full 16-week plan laid out day-by-day.</t>
  </si>
  <si>
    <t>T pace — minutes</t>
  </si>
  <si>
    <t>4. Workout Library — Detail cards for every session type — read before your first hard workout.</t>
  </si>
  <si>
    <t>T pace — seconds</t>
  </si>
  <si>
    <t>5. Paces &amp; Race Predictor — Auto-computed paces plus 5K/10K/HM/Marathon predictions.</t>
  </si>
  <si>
    <t>Easy pace override — minutes</t>
  </si>
  <si>
    <t>6. Coach Philosophy — The 12 principles this plan runs on.</t>
  </si>
  <si>
    <t>Easy pace override — seconds</t>
  </si>
  <si>
    <t>7. Progress Log — Track every day — planned vs actual. Dashboard reads from here.</t>
  </si>
  <si>
    <t>Dates</t>
  </si>
  <si>
    <t>Start date (Monday of Week 1)</t>
  </si>
  <si>
    <t>Race date (Saturday of Week 15) — derived</t>
  </si>
  <si>
    <t>Plan end date (Sunday of Week 16) — derived</t>
  </si>
  <si>
    <t>Plan structure</t>
  </si>
  <si>
    <t>Total duration</t>
  </si>
  <si>
    <t>16 weeks</t>
  </si>
  <si>
    <t>14 weeks (John's canonical length)</t>
  </si>
  <si>
    <t>Taper + race week</t>
  </si>
  <si>
    <t>1 week</t>
  </si>
  <si>
    <t>Runs per week</t>
  </si>
  <si>
    <t>4 (Tue/Wed/Fri/Sat)</t>
  </si>
  <si>
    <t>Weekly workouts</t>
  </si>
  <si>
    <t>1 midweek session + 1 endurance spine</t>
  </si>
  <si>
    <t>Where you are today. Refreshes from Inputs and Progress Log.</t>
  </si>
  <si>
    <t>CURRENT WEEK</t>
  </si>
  <si>
    <t>CURRENT PHASE</t>
  </si>
  <si>
    <t>COMPLETION</t>
  </si>
  <si>
    <t>Wk</t>
  </si>
  <si>
    <t>Total min</t>
  </si>
  <si>
    <t>Sessions</t>
  </si>
  <si>
    <t>T PACE (input)</t>
  </si>
  <si>
    <t>RACE DATE</t>
  </si>
  <si>
    <t>DAYS TO RACE</t>
  </si>
  <si>
    <t>This week</t>
  </si>
  <si>
    <t>WED — SESSION</t>
  </si>
  <si>
    <t>SAT — ENDURANCE SPINE</t>
  </si>
  <si>
    <t>Race predictor (based on T pace)</t>
  </si>
  <si>
    <t>Distance</t>
  </si>
  <si>
    <t>Race pace</t>
  </si>
  <si>
    <t>Predicted time</t>
  </si>
  <si>
    <t>Notes</t>
  </si>
  <si>
    <t>5K</t>
  </si>
  <si>
    <t>Fast; ~25-30 sec/mi under T</t>
  </si>
  <si>
    <t>10K</t>
  </si>
  <si>
    <t>Between 5K and T; ~12 sec/mi under T</t>
  </si>
  <si>
    <t>Half Marathon</t>
  </si>
  <si>
    <t>≈ T + 7 sec/mi (10-mile is ~7 sec/mi under HM)</t>
  </si>
  <si>
    <t>Marathon</t>
  </si>
  <si>
    <t>HM pace + 20 sec/mi per Stazza</t>
  </si>
  <si>
    <t>Status</t>
  </si>
  <si>
    <t>Count</t>
  </si>
  <si>
    <t>Completed</t>
  </si>
  <si>
    <t>Modified</t>
  </si>
  <si>
    <t>Missed</t>
  </si>
  <si>
    <t>Planned</t>
  </si>
  <si>
    <t>Super Base Calendar — 14 weeks + 1 taper + 1 recovery</t>
  </si>
  <si>
    <t>Week of</t>
  </si>
  <si>
    <t>Phase</t>
  </si>
  <si>
    <t>Mon</t>
  </si>
  <si>
    <t>Tue</t>
  </si>
  <si>
    <t>Wed — SESSION</t>
  </si>
  <si>
    <t>Thu</t>
  </si>
  <si>
    <t>Fri</t>
  </si>
  <si>
    <t>Sat — ENDURANCE SPINE</t>
  </si>
  <si>
    <t>Sun</t>
  </si>
  <si>
    <t>Weekly notes</t>
  </si>
  <si>
    <t>Tempo Build 1</t>
  </si>
  <si>
    <t>Rest / cross-train</t>
  </si>
  <si>
    <t>Easy 60 min @ T+60</t>
  </si>
  <si>
    <t>20 min WU / 20 min @ T / 20 min CD</t>
  </si>
  <si>
    <t>30 min easy / 40 min @ T+20 / 30 min easy</t>
  </si>
  <si>
    <t>Rest</t>
  </si>
  <si>
    <t>Baseline week. Finish the 20-min tempo feeling you could hold it another 30-40 min. Endurance spine tempo pace = 20 sec/mi slower than midweek tempo.</t>
  </si>
  <si>
    <t>Tempo Build 2</t>
  </si>
  <si>
    <t>20 min easy / 20 min @ T / 5 min easy / 10 min @ T / 20 min easy</t>
  </si>
  <si>
    <t>30 min easy / 50 min @ T+20 / 30 min easy</t>
  </si>
  <si>
    <t>Adding 10 min of tempo. Endurance spine to 50 min. Same paces as W1.</t>
  </si>
  <si>
    <t>Tempo Build 3</t>
  </si>
  <si>
    <t>20 min easy / 20 min @ T / 5 min easy / 15 min @ T / 20 min easy</t>
  </si>
  <si>
    <t>30 min easy / 60 min @ T+20 / 30 min easy</t>
  </si>
  <si>
    <t>35 min of tempo in-session. Endurance spine caps first cycle at 60 min @ T+20.</t>
  </si>
  <si>
    <t>Tempo Build 4</t>
  </si>
  <si>
    <t>20 min easy / 2x 20 min @ T off 5 min easy / 20 min easy</t>
  </si>
  <si>
    <t>30 min easy / 40 min @ T+15 / 30 min easy</t>
  </si>
  <si>
    <t>Peak of tempo build: 2x20 @ T. Endurance spine peels back to 40 min but 5 sec/mi faster (T+15). Cycle 2 begins.</t>
  </si>
  <si>
    <t>Transition into V</t>
  </si>
  <si>
    <t>20 min WU / 20 min @ T / 5 easy / 10 min @ T-5 / 5 easy / 2x 5 min @ T-10 off 3 min / 20 min CD</t>
  </si>
  <si>
    <t>30 min easy / 50 min @ T+15 / 30 min easy</t>
  </si>
  <si>
    <t>Bridge session into the V — first taste of T-10.</t>
  </si>
  <si>
    <t>Descent 1: Precipice</t>
  </si>
  <si>
    <t>20 min WU / 8x 5 min @ T-10 off 3 min jog / 20 min CD</t>
  </si>
  <si>
    <t>30 min easy / 60 min @ T+15 / 30 min easy</t>
  </si>
  <si>
    <t>The precipice of the V-shaped valley of death. 40 min of work at 10-mile pace.</t>
  </si>
  <si>
    <t>Descent 2</t>
  </si>
  <si>
    <t>20 min WU / 10x 4 min @ T-15 off 3 min jog / 20 min CD</t>
  </si>
  <si>
    <t>30 min easy / 40 min @ T+10 / 30 min easy</t>
  </si>
  <si>
    <t>Same volume (40 min), shorter reps, 5 sec/mi faster.</t>
  </si>
  <si>
    <t>Descent 3</t>
  </si>
  <si>
    <t>20 min WU / 10x 3 min @ T-20 off 3 min jog / 20 min CD</t>
  </si>
  <si>
    <t>30 min easy / 50 min @ T+10 / 30 min easy</t>
  </si>
  <si>
    <t>10x3 at 10K effort. Volume drops to 30 min.</t>
  </si>
  <si>
    <t>Descent 4</t>
  </si>
  <si>
    <t>20 min WU / 15x 2 min @ T-25 off 2 min jog / 20 min CD</t>
  </si>
  <si>
    <t>30 min easy / 60 min @ T+10 / 30 min easy</t>
  </si>
  <si>
    <t>15x2 — approaching 5K blend. Recoveries tighten to 2 min.</t>
  </si>
  <si>
    <t>Descent 5: Bottom of V</t>
  </si>
  <si>
    <t>20 min WU / 20x 1 min @ T-30 (5K pace) off 1 min jog / 20 min CD</t>
  </si>
  <si>
    <t>30 min easy / 40 min @ T+5 / 30 min easy</t>
  </si>
  <si>
    <t>Bottom of the V. 5K pace touch — safe because reps are only 1 min.</t>
  </si>
  <si>
    <t>Ascent 1</t>
  </si>
  <si>
    <t>30 min easy / 50 min @ T+5 / 30 min easy</t>
  </si>
  <si>
    <t>Ascent starts. Same 15x2 shape as Wk 9, same pace — familiar territory after touching T-30 last week. Establishes the pace we'll HOLD into Wk 12.</t>
  </si>
  <si>
    <t>Ascent 2</t>
  </si>
  <si>
    <t>20 min WU / 10x 3 min @ T-25 off 2 min jog / 20 min CD</t>
  </si>
  <si>
    <t>30 min easy / 60 min @ T+5 / 30 min easy</t>
  </si>
  <si>
    <t>Same 10x3 shape as Wk 8 but HOLDING T-25 pace instead of slowing to T-20. This is John's exact ascent quote in action: 'when you do the 10x3, instead of slowing down 3 sec/km, you hold the pace.'</t>
  </si>
  <si>
    <t>Ascent 3</t>
  </si>
  <si>
    <t>20 min WU / 10x 4 min @ T-20 off 2 min jog / 20 min CD</t>
  </si>
  <si>
    <t>30 min easy / 40 min @ T / 30 min easy</t>
  </si>
  <si>
    <t>Same 10x4 shape as Wk 7 but 5 sec/mi faster (T-20 vs T-15). Endurance spine peels to 40 min but at your original 20-min tempo pace — the pace transformation is showing.</t>
  </si>
  <si>
    <t>Peak week 🏔 — Ascent 4</t>
  </si>
  <si>
    <t>20 min WU / 8x 5 min @ T-15 off 2 min jog / 20 min CD</t>
  </si>
  <si>
    <t>Easy 45 min @ T+60</t>
  </si>
  <si>
    <t>30 min easy / 60 min @ T / 30 min easy</t>
  </si>
  <si>
    <t>THE MILESTONE. Same 8x5 shape as the Wk 6 precipice but 5 sec/mi FASTER on tighter recovery (2 min vs 3 min). Endurance spine hits 60 min @ T — your 60-min tempo equals your original 20-min tempo pace. Super Base fitness proven.</t>
  </si>
  <si>
    <t>🏁 Race Week (taper + race)</t>
  </si>
  <si>
    <t>20 min WU / 4x 90s @ T off 90s easy / 20 min CD</t>
  </si>
  <si>
    <t>Rest or easy 30 min</t>
  </si>
  <si>
    <t>Easy 20 min + 4x 20s strides</t>
  </si>
  <si>
    <t>🏁 HALF MARATHON — race by effort. Warmup 15-20 min easy + drills + 4 strides. Target: HM pace ≈ T+7 sec/mi (or below if the day is on). Cool down 10-15 min.</t>
  </si>
  <si>
    <t>Race week. Light sharpener Tue keeps neuromuscular system alive. Race Sat. Coming off a full Super Base, John's coincidence says nearly everyone PBs here.</t>
  </si>
  <si>
    <t>Rest — walk 30 min</t>
  </si>
  <si>
    <t>Rest or easy 30 min walk</t>
  </si>
  <si>
    <t>Easy 30 min (by feel, no watch)</t>
  </si>
  <si>
    <t>Easy 40 min</t>
  </si>
  <si>
    <t>Easy 60 min by feel — no tempo, no target pace</t>
  </si>
  <si>
    <t>Full recovery. Zero quality work. John's guidance: rest is when fitness locks in. Do NOT sneak a workout.</t>
  </si>
  <si>
    <t>The Stazza sessions used in this Super Base. Read the card before you run the workout.</t>
  </si>
  <si>
    <t>Easy Run</t>
  </si>
  <si>
    <t>Purpose</t>
  </si>
  <si>
    <t>Aerobic development, capillarization, musculoskeletal accumulation. The bulk of your weekly volume. If it's not the Wednesday session or the Saturday endurance spine, it's easy.</t>
  </si>
  <si>
    <t>Adaptation</t>
  </si>
  <si>
    <t>Increased mitochondrial density, capillary bed expansion, tendon/ligament adaptation. Fat-oxidation efficiency.</t>
  </si>
  <si>
    <t>Warm-up</t>
  </si>
  <si>
    <t>None required — start easy and stay easy.</t>
  </si>
  <si>
    <t>Main Set</t>
  </si>
  <si>
    <t>60 min continuous @ T+60 sec/mi (or slower). By feel: conversation pace, nose-breathing when possible.</t>
  </si>
  <si>
    <t>Cool-down</t>
  </si>
  <si>
    <t>Walk 5 min. Optional 4x 20s strides on Fri only.</t>
  </si>
  <si>
    <t>Coach Notes</t>
  </si>
  <si>
    <t>Elite runners run easy runs slower than most amateurs think they should. If your Saturday endurance spine feels flat, your easy runs are too fast.</t>
  </si>
  <si>
    <t>Common Mistakes</t>
  </si>
  <si>
    <t>Running easy runs at moderate pace ('the grey zone'). Racing Strava segments. Turning easy runs into extra sessions.</t>
  </si>
  <si>
    <t>Progression Rules</t>
  </si>
  <si>
    <t>Volume can grow 5-10 min every 3-4 weeks. Pace should NOT progress — if easy pace is dropping without effort dropping, you're recovering less than you think.</t>
  </si>
  <si>
    <t>Recovery Run</t>
  </si>
  <si>
    <t>Post-session or post-race circulation. Not a fitness session — a recovery tool.</t>
  </si>
  <si>
    <t>None targeted. Blood flow, lymphatic drainage, mental reset.</t>
  </si>
  <si>
    <t>Walk 3-5 min if legs are stiff.</t>
  </si>
  <si>
    <t>30-45 min continuous @ T+90 sec/mi. Slower is better. Watch off if possible.</t>
  </si>
  <si>
    <t>Walk 5 min. Foam roll if tight.</t>
  </si>
  <si>
    <t>The purpose is to bring nothing home from the previous day. If you finish a recovery run breathing harder than you started, it wasn't a recovery run.</t>
  </si>
  <si>
    <t>Treating it as an easy run. Running it too far. Adding strides.</t>
  </si>
  <si>
    <t>None — recovery runs stay recovery. If you feel great on recovery day, that's not permission to push.</t>
  </si>
  <si>
    <t>Aerobic Strides</t>
  </si>
  <si>
    <t>Neuromuscular sharpness without accumulating fatigue. Reminds the body what fast feels like between the two weekly key sessions.</t>
  </si>
  <si>
    <t>Motor unit recruitment, running economy, form efficiency at speed.</t>
  </si>
  <si>
    <t>Slot into the tail end of a Friday easy run — you're already warm.</t>
  </si>
  <si>
    <t>4x 20 seconds at ~mile-race effort (NOT sprinting). 60-90 sec walk/jog recovery between.</t>
  </si>
  <si>
    <t>Walk 3-5 min after last stride.</t>
  </si>
  <si>
    <t>Strides are 'controlled fast', not eyeballs-out. Should feel effortless and mechanically clean. If you're straining, you're going too hard.</t>
  </si>
  <si>
    <t>Sprinting. Doing them tired. Doing them the day before a session.</t>
  </si>
  <si>
    <t>Duration stays at 20s. Can increase quantity to 6x once the plan is beyond 12 weeks in. Never before a race.</t>
  </si>
  <si>
    <t>Tempo (T pace)</t>
  </si>
  <si>
    <t>The foundation of the whole Super Base. Introduces sustained work at 1-hour race effort — the anchor for every other session.</t>
  </si>
  <si>
    <t>Lactate clearance at moderate-hard effort. Aerobic ceiling. Sub-threshold economy.</t>
  </si>
  <si>
    <t>20 min easy jog. Optional 2-4x strides if legs feel heavy.</t>
  </si>
  <si>
    <t>Weeks 1-4 progression: 20 min @ T → 20+10 @ T → 20+15 @ T → 2x20 @ T (5 min easy between).</t>
  </si>
  <si>
    <t>20 min easy jog.</t>
  </si>
  <si>
    <t>'T' is what you could hold for a ONE-HOUR race today. Not lactate threshold. Not Daniels V-dot. Effort-based. Finish feeling you could hold it another 30-40 min.</t>
  </si>
  <si>
    <t>Running T pace by heart rate. Racing the tempo. Chasing a specific pace target instead of running the correct effort.</t>
  </si>
  <si>
    <t>Volume ramps to 40 min at T before V descent begins. Don't add more T volume once V descent starts.</t>
  </si>
  <si>
    <t>V Descent Session</t>
  </si>
  <si>
    <t>Increase pace by shortening reps. Take the T-pace fitness and sharpen it toward 5K over 5 weeks.</t>
  </si>
  <si>
    <t>VO2max, running economy at faster paces, buffering capacity, form under speed.</t>
  </si>
  <si>
    <t>20 min easy jog + drills + 2-4x strides.</t>
  </si>
  <si>
    <t>Progression by week:
  Wk 6: 8x 5 min @ T-10 off 3 min jog (the precipice)
  Wk 7: 10x 4 min @ T-15 off 3 min jog
  Wk 8: 10x 3 min @ T-20 off 3 min jog
  Wk 9: 15x 2 min @ T-25 off 2 min jog
  Wk 10: 20x 1 min @ T-30 off 1 min jog (bottom of V)</t>
  </si>
  <si>
    <t>Stimulate, don't annihilate. Every rep should feel like you could do 1-2 more. If you're straining by rep 4, back off pace — you'll get the adaptation without the injury.</t>
  </si>
  <si>
    <t>Going too fast early in the session. Cutting recoveries short. Racing the first rep.</t>
  </si>
  <si>
    <t>Each week is 5 sec/mi faster than the last. If you can't hit pace on rep 1, hold the previous week's pace and repeat.</t>
  </si>
  <si>
    <t>V Ascent Session</t>
  </si>
  <si>
    <t>Coming back UP the V after the bottom (20×1). Mirror the descent's rep shapes at faster paces (5 sec/mi quicker than when that shape appeared going down). John: 'when you do the 10×3, instead of slowing down 3 sec/km, you hold the pace.'</t>
  </si>
  <si>
    <t>Endurance at faster paces. Musculoskeletal capacity at pace. THIS is where the Super Base fitness locks in.</t>
  </si>
  <si>
    <t>Wk 11: 15x 2 min @ T-25 off 2 min jog (landing at Wk 9's shape/pace)
Wk 12: 10x 3 min @ T-25 off 2 min jog (HOLD Wk 11's pace — John's exact quote)
Wk 13: 10x 4 min @ T-20 off 2 min jog (5 sec/mi faster than descent's Wk 7)
Wk 14: 8x 5 min @ T-15 off 2 min jog (peak — 5 sec/mi faster than the Wk 6 precipice)</t>
  </si>
  <si>
    <t>The magic of the Super Base: on the way up, pace doesn't slow back down like it sped up. That's because the endurance spine has been holding it together all along. The 20×1 shape from the bottom is NOT repeated — you touched 5K pace once; the ascent's job is to translate that speed into longer sustained work.</t>
  </si>
  <si>
    <t>Slowing back down 5 sec/mi as reps get longer. Repeating the 20×1 bottom-of-V session. Racing the first rep.</t>
  </si>
  <si>
    <t>Hold the pace across the 15×2 → 10×3 transition (John's specific ascent example). Concede 5 sec/mi across the 10×3 → 10×4 and 10×4 → 8×5 transitions. If you can't hit pace in Wk 11, the descent went too fast — dial back the ascent by 3-5 sec/mi across the board.</t>
  </si>
  <si>
    <t>Endurance Spine</t>
  </si>
  <si>
    <t>The cement of the plan. The Saturday long run at tempo effort — this is what makes the midweek gains stick.</t>
  </si>
  <si>
    <t>Aerobic capacity at moderate effort. Fat oxidation. Musculoskeletal endurance. Race-specific mental toughness.</t>
  </si>
  <si>
    <t>30 min easy jog (built into the workout).</t>
  </si>
  <si>
    <t>30 min easy / 40-60 min @ endurance-spine tempo pace / 30 min easy.
Cycle: 40→50→60 min at same pace over 3 weeks, then peel back to 40 min at 5 sec/mi faster. Repeat.
Starting tempo pace: T+20 sec/mi. By Week 14, hits 60 min @ T (the milestone).</t>
  </si>
  <si>
    <t>Built into the 30 min easy at the end.</t>
  </si>
  <si>
    <t>NEVER race the endurance spine. If you feel like racing it, back off — that's how injuries happen. The reason you can peel back down and go faster each cycle is what you did in the midweek session.</t>
  </si>
  <si>
    <t>Racing it. Skipping the 30-min easy bookends. Cutting it short. Running it too fast in the first cycle (T+20 is the FLOOR, not a stretch).</t>
  </si>
  <si>
    <t>Time cycles independently of the midweek. Each cycle 5 sec/mi faster. By end of Super Base, your 60-min tempo hits your original 20-min tempo pace.</t>
  </si>
  <si>
    <t>Structural Run (optional)</t>
  </si>
  <si>
    <t>Occasional substitute for the endurance spine when its tempo pace is getting sharp. Longer, slower, structural.</t>
  </si>
  <si>
    <t>Musculoskeletal accumulation without asking the aerobic system to peak twice a week.</t>
  </si>
  <si>
    <t>30 min easy jog.</t>
  </si>
  <si>
    <t>80-90 min continuous @ T+40 sec/mi. Slower than the endurance spine, longer overall.</t>
  </si>
  <si>
    <t>Drop this in when you feel niggle risk creeping in, or when the endurance-spine pace has gotten sharp and you want a week to just accumulate time on feet.</t>
  </si>
  <si>
    <t>Using this as a rest week. It's still a real session — just at a slower pace.</t>
  </si>
  <si>
    <t>Not scheduled. Insert judiciously — no more than once every 3-4 weeks. Doesn't advance the endurance-spine cycle.</t>
  </si>
  <si>
    <t>All paces derive from T on the Inputs sheet. Change T there — every value here updates.</t>
  </si>
  <si>
    <t>Pace Reference (min/mi)</t>
  </si>
  <si>
    <t>Label</t>
  </si>
  <si>
    <t>Offset (sec/mi)</t>
  </si>
  <si>
    <t>Pace min:sec</t>
  </si>
  <si>
    <t>T-30</t>
  </si>
  <si>
    <t>5K effort — bottom of V (20x1 min)</t>
  </si>
  <si>
    <t>T-25</t>
  </si>
  <si>
    <t>5K/3K blend — 15x2 min pace</t>
  </si>
  <si>
    <t>T-20</t>
  </si>
  <si>
    <t>10K effort — 10x3 min pace</t>
  </si>
  <si>
    <t>T-15</t>
  </si>
  <si>
    <t>10-mile effort — 10x4 min pace</t>
  </si>
  <si>
    <t>T-10</t>
  </si>
  <si>
    <t>10-mile / threshold — 8x5 min pace</t>
  </si>
  <si>
    <t>T-5</t>
  </si>
  <si>
    <t>Threshold — early tempo add-ons</t>
  </si>
  <si>
    <t>T</t>
  </si>
  <si>
    <t>1-HOUR TEMPO EFFORT (input, ≈ HM+7)</t>
  </si>
  <si>
    <t>T+5</t>
  </si>
  <si>
    <t>Endurance Spine — cycle 4</t>
  </si>
  <si>
    <t>T+10</t>
  </si>
  <si>
    <t>Endurance Spine — cycle 3</t>
  </si>
  <si>
    <t>T+15</t>
  </si>
  <si>
    <t>Endurance Spine — cycle 2</t>
  </si>
  <si>
    <t>T+20</t>
  </si>
  <si>
    <t>Endurance Spine — cycle 1 (start)</t>
  </si>
  <si>
    <t>T+40</t>
  </si>
  <si>
    <t>Structural run tempo pace (80-90 min)</t>
  </si>
  <si>
    <t>T+60</t>
  </si>
  <si>
    <t>Easy run pace (guide — run by feel)</t>
  </si>
  <si>
    <t>T+90</t>
  </si>
  <si>
    <t>Recovery pace</t>
  </si>
  <si>
    <t>Race Predictor</t>
  </si>
  <si>
    <t>Rough predictions based on your T pace. Assumes race-day conditions, adequate taper, and executed pacing.</t>
  </si>
  <si>
    <t>Distance (mi)</t>
  </si>
  <si>
    <t>How to use these</t>
  </si>
  <si>
    <t>• Update your T pace on the Inputs sheet after each race — the whole table recalibrates.</t>
  </si>
  <si>
    <t>• Predictions assume typical race-day conditions. Heat, wind, hills, altitude can shift them 10-30 sec/mi.</t>
  </si>
  <si>
    <t>• Marathon prediction assumes you also do a Marathon Bridge and Marathon Specific block — a marathon straight off Super Base at this pace is not recommended.</t>
  </si>
  <si>
    <t>• If your race result is significantly under or over the HM prediction here, that's your signal to recalibrate T going forward.</t>
  </si>
  <si>
    <t>The twelve principles this plan runs on — synthesized from John Starrett's Stablemaster Speaks.</t>
  </si>
  <si>
    <t>Principle</t>
  </si>
  <si>
    <t>What it means</t>
  </si>
  <si>
    <t>1. Consistency beats hero workouts.</t>
  </si>
  <si>
    <t>The runner who executes 90% of an easy plan will beat the runner who nails 2 huge sessions and blows up. Show up. Repeat. Adapt.</t>
  </si>
  <si>
    <t>2. Four runs a week is enough.</t>
  </si>
  <si>
    <t>Line 17874 of the transcripts: 'If they've got four runs, I would give them one run of 65 minutes, one run of 90 minutes easy' — plus two workouts. John coaches sub-3 marathoners on 4 runs a week.</t>
  </si>
  <si>
    <t>3. Training is putting money in the bank; racing is spending it.</t>
  </si>
  <si>
    <t>Race for purpose. Every race has a why. Two or three marathons a year is over-spending. Let the 5K/10K/HM PBs on the journey be the big chunks.</t>
  </si>
  <si>
    <t>4. Stimulate, don't annihilate.</t>
  </si>
  <si>
    <t>Lee Haney's line, adopted by Stazza. Finish every session feeling you could do 1-2 more reps. Forced fitness breaks you — allowed fitness comes and comes.</t>
  </si>
  <si>
    <t>5. Easy runs stay easy.</t>
  </si>
  <si>
    <t>If your easy runs are moderate, your endurance spine can't be tempo. The grey zone eats plans. Elite runners run easy runs slower than most amateurs think possible.</t>
  </si>
  <si>
    <t>6. Recovery is training.</t>
  </si>
  <si>
    <t>Adaptation happens between sessions, not during. Three rest days a week is not laziness — it's engineering. The catapult analogy: pull back to launch further.</t>
  </si>
  <si>
    <t>7. Never sacrifice tomorrow's workout for today's.</t>
  </si>
  <si>
    <t>If Wednesday's session was hard, Thursday's easy run is easy — not 'catch-up' pace. If you dig a hole today, you can't fill it by digging faster tomorrow.</t>
  </si>
  <si>
    <t>8. The Super Base is the foundation, not the paint.</t>
  </si>
  <si>
    <t>It's the hole in the ground. Everything else — Bridge, Marathon Specific — builds on it. Skip it and you get injured or plateau.</t>
  </si>
  <si>
    <t>9. Effort &gt; pace. Run by feel.</t>
  </si>
  <si>
    <t>Elite runners run by feel. T is what you could hold in a 1-hour race today, on this course, in these conditions, feeling this way. Not a threshold from a spreadsheet.</t>
  </si>
  <si>
    <t>10. The endurance spine is the cement.</t>
  </si>
  <si>
    <t>The Saturday long run is what makes the midweek gains stick. Don't race it. Ever. If you race it, you race the whole plan and it breaks.</t>
  </si>
  <si>
    <t>11. V-shaped valley of death.</t>
  </si>
  <si>
    <t>8x5 → 10x4 → 10x3 → 15x2 → 20x1. Down the V, 5 sec/mi faster each week. Up the V, HOLD the faster pace. The endurance spine is what lets you keep the pace on the way back up.</t>
  </si>
  <si>
    <t>12. Race for a marker, not a target.</t>
  </si>
  <si>
    <t>Races tell you where you are. Come off the Super Base feeling proven, not gassed. The race is a report card, not a final exam.</t>
  </si>
  <si>
    <t>One row per day. Dates recalculate from your Start Date. Mark status as you complete workouts — the Dashboard pie chart updates automatically.</t>
  </si>
  <si>
    <t>Date</t>
  </si>
  <si>
    <t>Day</t>
  </si>
  <si>
    <t>Planned workout</t>
  </si>
  <si>
    <t>Actual pace</t>
  </si>
  <si>
    <t>Actual duration (min)</t>
  </si>
  <si>
    <t>Wed</t>
  </si>
  <si>
    <t>Sat</t>
  </si>
  <si>
    <t>John Starrett's Super Base Running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</si>
</sst>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&quot;, &quot;mmm\ d&quot;, &quot;yyyy"/>
    <numFmt numFmtId="165" formatCode="mmm\ d"/>
  </numFmts>
  <fonts count="30" x14ac:knownFonts="1">
    <font>
      <sz val="11"/>
      <color theme="1"/>
      <name val="Calibri"/>
      <family val="2"/>
      <charset val="1"/>
    </font>
    <font>
      <b/>
      <sz val="28"/>
      <color rgb="FF1F3A5F"/>
      <name val="Calibri"/>
      <charset val="1"/>
    </font>
    <font>
      <i/>
      <sz val="14"/>
      <color rgb="FF616161"/>
      <name val="Calibri"/>
      <charset val="1"/>
    </font>
    <font>
      <b/>
      <sz val="11"/>
      <color rgb="FFFFFFFF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1"/>
      <color rgb="FF0563C1"/>
      <name val="Calibri"/>
      <charset val="1"/>
    </font>
    <font>
      <sz val="11"/>
      <color rgb="FF616161"/>
      <name val="Calibri"/>
      <charset val="1"/>
    </font>
    <font>
      <b/>
      <sz val="20"/>
      <color rgb="FF1F3A5F"/>
      <name val="Calibri"/>
      <charset val="1"/>
    </font>
    <font>
      <i/>
      <sz val="10"/>
      <color rgb="FF616161"/>
      <name val="Calibri"/>
      <charset val="1"/>
    </font>
    <font>
      <sz val="10"/>
      <color rgb="FF000000"/>
      <name val="Calibri"/>
      <charset val="1"/>
    </font>
    <font>
      <b/>
      <i/>
      <sz val="11"/>
      <color rgb="FF000000"/>
      <name val="Calibri"/>
      <charset val="1"/>
    </font>
    <font>
      <b/>
      <sz val="11"/>
      <color rgb="FF616161"/>
      <name val="Calibri"/>
      <charset val="1"/>
    </font>
    <font>
      <sz val="10"/>
      <name val="Arial"/>
      <family val="2"/>
    </font>
    <font>
      <b/>
      <sz val="24"/>
      <color rgb="FF1F3A5F"/>
      <name val="Calibri"/>
      <charset val="1"/>
    </font>
    <font>
      <i/>
      <sz val="11"/>
      <color rgb="FF616161"/>
      <name val="Calibri"/>
      <charset val="1"/>
    </font>
    <font>
      <b/>
      <sz val="10"/>
      <color rgb="FF1F3A5F"/>
      <name val="Calibri"/>
      <charset val="1"/>
    </font>
    <font>
      <b/>
      <sz val="10"/>
      <color rgb="FF000000"/>
      <name val="Calibri"/>
      <charset val="1"/>
    </font>
    <font>
      <b/>
      <sz val="18"/>
      <color rgb="FF1F3A5F"/>
      <name val="Calibri"/>
      <charset val="1"/>
    </font>
    <font>
      <sz val="14"/>
      <color rgb="FF1F3A5F"/>
      <name val="Calibri"/>
      <charset val="1"/>
    </font>
    <font>
      <b/>
      <sz val="10"/>
      <color rgb="FFE65100"/>
      <name val="Calibri"/>
      <charset val="1"/>
    </font>
    <font>
      <b/>
      <sz val="10"/>
      <color rgb="FF1565C0"/>
      <name val="Calibri"/>
      <charset val="1"/>
    </font>
    <font>
      <b/>
      <sz val="11"/>
      <color rgb="FF1F3A5F"/>
      <name val="Calibri"/>
      <charset val="1"/>
    </font>
    <font>
      <i/>
      <sz val="11"/>
      <color rgb="FF000000"/>
      <name val="Calibri"/>
      <charset val="1"/>
    </font>
    <font>
      <b/>
      <sz val="14"/>
      <color rgb="FFFFFFFF"/>
      <name val="Calibri"/>
      <charset val="1"/>
    </font>
    <font>
      <b/>
      <sz val="11"/>
      <color rgb="FF2E7D32"/>
      <name val="Calibri"/>
      <charset val="1"/>
    </font>
    <font>
      <b/>
      <sz val="11"/>
      <color rgb="FF6A1B9A"/>
      <name val="Calibri"/>
      <charset val="1"/>
    </font>
    <font>
      <b/>
      <sz val="11"/>
      <color rgb="FFE65100"/>
      <name val="Calibri"/>
      <charset val="1"/>
    </font>
    <font>
      <b/>
      <sz val="11"/>
      <color rgb="FF1565C0"/>
      <name val="Calibri"/>
      <charset val="1"/>
    </font>
    <font>
      <b/>
      <sz val="12"/>
      <color rgb="FF1F3A5F"/>
      <name val="Calibri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5F5F5"/>
        <bgColor rgb="FFEAF3F8"/>
      </patternFill>
    </fill>
    <fill>
      <patternFill patternType="solid">
        <fgColor rgb="FFFFF2A8"/>
        <bgColor rgb="FFFCF3CF"/>
      </patternFill>
    </fill>
    <fill>
      <patternFill patternType="solid">
        <fgColor rgb="FFEAEDED"/>
        <bgColor rgb="FFEAF3F8"/>
      </patternFill>
    </fill>
    <fill>
      <patternFill patternType="solid">
        <fgColor rgb="FFD9E7F2"/>
        <bgColor rgb="FFD5E8D4"/>
      </patternFill>
    </fill>
    <fill>
      <patternFill patternType="solid">
        <fgColor rgb="FFFFE0B2"/>
        <bgColor rgb="FFFADBD8"/>
      </patternFill>
    </fill>
    <fill>
      <patternFill patternType="solid">
        <fgColor rgb="FFD5E8D4"/>
        <bgColor rgb="FFD9E7F2"/>
      </patternFill>
    </fill>
    <fill>
      <patternFill patternType="solid">
        <fgColor rgb="FFEAF3F8"/>
        <bgColor rgb="FFEAEDED"/>
      </patternFill>
    </fill>
    <fill>
      <patternFill patternType="solid">
        <fgColor rgb="FFFDF2E9"/>
        <bgColor rgb="FFF5F5F5"/>
      </patternFill>
    </fill>
    <fill>
      <patternFill patternType="solid">
        <fgColor rgb="FFFADBD8"/>
        <bgColor rgb="FFE8DAEF"/>
      </patternFill>
    </fill>
    <fill>
      <patternFill patternType="solid">
        <fgColor rgb="FFFCF3CF"/>
        <bgColor rgb="FFFDF2E9"/>
      </patternFill>
    </fill>
    <fill>
      <patternFill patternType="solid">
        <fgColor rgb="FFD5F5E3"/>
        <bgColor rgb="FFD5E8D4"/>
      </patternFill>
    </fill>
    <fill>
      <patternFill patternType="solid">
        <fgColor rgb="FFE8DAEF"/>
        <bgColor rgb="FFD9D9D9"/>
      </patternFill>
    </fill>
    <fill>
      <patternFill patternType="solid">
        <fgColor rgb="FF2E7D32"/>
        <bgColor rgb="FF008000"/>
      </patternFill>
    </fill>
    <fill>
      <patternFill patternType="solid">
        <fgColor rgb="FFFFFFFF"/>
        <bgColor rgb="FFF5F5F5"/>
      </patternFill>
    </fill>
    <fill>
      <patternFill patternType="solid">
        <fgColor rgb="FF616161"/>
        <bgColor rgb="FF8064A2"/>
      </patternFill>
    </fill>
    <fill>
      <patternFill patternType="solid">
        <fgColor rgb="FF6A1B9A"/>
        <bgColor rgb="FF800080"/>
      </patternFill>
    </fill>
    <fill>
      <patternFill patternType="solid">
        <fgColor rgb="FFE65100"/>
        <bgColor rgb="FFC0504D"/>
      </patternFill>
    </fill>
    <fill>
      <patternFill patternType="solid">
        <fgColor rgb="FF1565C0"/>
        <bgColor rgb="FF0563C1"/>
      </patternFill>
    </fill>
  </fills>
  <borders count="4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1F3A5F"/>
      </left>
      <right/>
      <top style="medium">
        <color rgb="FF1F3A5F"/>
      </top>
      <bottom style="medium">
        <color rgb="FF1F3A5F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6" fillId="7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/>
    </xf>
    <xf numFmtId="0" fontId="10" fillId="0" borderId="0" xfId="0" applyFont="1" applyAlignment="1">
      <alignment horizontal="left" vertical="top" wrapText="1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left" vertical="top" wrapText="1"/>
    </xf>
    <xf numFmtId="164" fontId="12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17" fillId="3" borderId="0" xfId="0" applyFont="1" applyFill="1"/>
    <xf numFmtId="0" fontId="0" fillId="0" borderId="0" xfId="0" applyAlignment="1">
      <alignment horizontal="center"/>
    </xf>
    <xf numFmtId="0" fontId="20" fillId="7" borderId="2" xfId="0" applyFont="1" applyFill="1" applyBorder="1" applyAlignment="1">
      <alignment horizontal="left" vertical="top" wrapText="1"/>
    </xf>
    <xf numFmtId="0" fontId="21" fillId="6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17" fillId="0" borderId="0" xfId="0" applyFont="1"/>
    <xf numFmtId="0" fontId="4" fillId="9" borderId="2" xfId="0" applyFont="1" applyFill="1" applyBorder="1" applyAlignment="1">
      <alignment horizontal="center" vertical="top" wrapText="1"/>
    </xf>
    <xf numFmtId="165" fontId="4" fillId="9" borderId="2" xfId="0" applyNumberFormat="1" applyFont="1" applyFill="1" applyBorder="1" applyAlignment="1">
      <alignment horizontal="center" vertical="top"/>
    </xf>
    <xf numFmtId="0" fontId="4" fillId="9" borderId="2" xfId="0" applyFont="1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23" fillId="9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center" vertical="top" wrapText="1"/>
    </xf>
    <xf numFmtId="165" fontId="4" fillId="10" borderId="2" xfId="0" applyNumberFormat="1" applyFont="1" applyFill="1" applyBorder="1" applyAlignment="1">
      <alignment horizontal="center" vertical="top"/>
    </xf>
    <xf numFmtId="0" fontId="4" fillId="10" borderId="2" xfId="0" applyFont="1" applyFill="1" applyBorder="1" applyAlignment="1">
      <alignment horizontal="left" vertical="top" wrapText="1"/>
    </xf>
    <xf numFmtId="0" fontId="23" fillId="10" borderId="2" xfId="0" applyFont="1" applyFill="1" applyBorder="1" applyAlignment="1">
      <alignment horizontal="left" vertical="top" wrapText="1"/>
    </xf>
    <xf numFmtId="0" fontId="4" fillId="11" borderId="2" xfId="0" applyFont="1" applyFill="1" applyBorder="1" applyAlignment="1">
      <alignment horizontal="center" vertical="top" wrapText="1"/>
    </xf>
    <xf numFmtId="165" fontId="4" fillId="11" borderId="2" xfId="0" applyNumberFormat="1" applyFont="1" applyFill="1" applyBorder="1" applyAlignment="1">
      <alignment horizontal="center" vertical="top"/>
    </xf>
    <xf numFmtId="0" fontId="4" fillId="11" borderId="2" xfId="0" applyFont="1" applyFill="1" applyBorder="1" applyAlignment="1">
      <alignment horizontal="left" vertical="top" wrapText="1"/>
    </xf>
    <xf numFmtId="0" fontId="23" fillId="11" borderId="2" xfId="0" applyFont="1" applyFill="1" applyBorder="1" applyAlignment="1">
      <alignment horizontal="left" vertical="top" wrapText="1"/>
    </xf>
    <xf numFmtId="0" fontId="4" fillId="12" borderId="2" xfId="0" applyFont="1" applyFill="1" applyBorder="1" applyAlignment="1">
      <alignment horizontal="center" vertical="top" wrapText="1"/>
    </xf>
    <xf numFmtId="165" fontId="4" fillId="12" borderId="2" xfId="0" applyNumberFormat="1" applyFont="1" applyFill="1" applyBorder="1" applyAlignment="1">
      <alignment horizontal="center" vertical="top"/>
    </xf>
    <xf numFmtId="0" fontId="4" fillId="12" borderId="2" xfId="0" applyFont="1" applyFill="1" applyBorder="1" applyAlignment="1">
      <alignment horizontal="left" vertical="top" wrapText="1"/>
    </xf>
    <xf numFmtId="0" fontId="23" fillId="12" borderId="2" xfId="0" applyFont="1" applyFill="1" applyBorder="1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165" fontId="4" fillId="13" borderId="2" xfId="0" applyNumberFormat="1" applyFont="1" applyFill="1" applyBorder="1" applyAlignment="1">
      <alignment horizontal="center" vertical="top"/>
    </xf>
    <xf numFmtId="0" fontId="4" fillId="13" borderId="2" xfId="0" applyFont="1" applyFill="1" applyBorder="1" applyAlignment="1">
      <alignment horizontal="left" vertical="top" wrapText="1"/>
    </xf>
    <xf numFmtId="0" fontId="23" fillId="1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top" wrapText="1"/>
    </xf>
    <xf numFmtId="165" fontId="4" fillId="4" borderId="2" xfId="0" applyNumberFormat="1" applyFont="1" applyFill="1" applyBorder="1" applyAlignment="1">
      <alignment horizontal="center" vertical="top"/>
    </xf>
    <xf numFmtId="0" fontId="5" fillId="7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left" vertical="top" wrapText="1"/>
    </xf>
    <xf numFmtId="0" fontId="5" fillId="14" borderId="2" xfId="0" applyFont="1" applyFill="1" applyBorder="1" applyAlignment="1">
      <alignment horizontal="left" vertical="top" wrapText="1"/>
    </xf>
    <xf numFmtId="0" fontId="23" fillId="4" borderId="2" xfId="0" applyFont="1" applyFill="1" applyBorder="1" applyAlignment="1">
      <alignment horizontal="left" vertical="top" wrapText="1"/>
    </xf>
    <xf numFmtId="0" fontId="4" fillId="8" borderId="2" xfId="0" applyFont="1" applyFill="1" applyBorder="1" applyAlignment="1">
      <alignment horizontal="center" vertical="top" wrapText="1"/>
    </xf>
    <xf numFmtId="165" fontId="4" fillId="8" borderId="2" xfId="0" applyNumberFormat="1" applyFont="1" applyFill="1" applyBorder="1" applyAlignment="1">
      <alignment horizontal="center" vertical="top"/>
    </xf>
    <xf numFmtId="0" fontId="23" fillId="8" borderId="2" xfId="0" applyFont="1" applyFill="1" applyBorder="1" applyAlignment="1">
      <alignment horizontal="left" vertical="top" wrapText="1"/>
    </xf>
    <xf numFmtId="0" fontId="25" fillId="8" borderId="2" xfId="0" applyFont="1" applyFill="1" applyBorder="1" applyAlignment="1">
      <alignment horizontal="left" vertical="top" wrapText="1"/>
    </xf>
    <xf numFmtId="0" fontId="5" fillId="16" borderId="2" xfId="0" applyFont="1" applyFill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top" wrapText="1"/>
    </xf>
    <xf numFmtId="0" fontId="26" fillId="14" borderId="2" xfId="0" applyFont="1" applyFill="1" applyBorder="1" applyAlignment="1">
      <alignment horizontal="left" vertical="top" wrapText="1"/>
    </xf>
    <xf numFmtId="0" fontId="27" fillId="7" borderId="2" xfId="0" applyFont="1" applyFill="1" applyBorder="1" applyAlignment="1">
      <alignment horizontal="left" vertical="top" wrapText="1"/>
    </xf>
    <xf numFmtId="0" fontId="28" fillId="6" borderId="2" xfId="0" applyFont="1" applyFill="1" applyBorder="1" applyAlignment="1">
      <alignment horizontal="left" vertical="top" wrapText="1"/>
    </xf>
    <xf numFmtId="0" fontId="4" fillId="7" borderId="2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top" wrapText="1"/>
    </xf>
    <xf numFmtId="0" fontId="29" fillId="7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top" wrapText="1"/>
    </xf>
    <xf numFmtId="0" fontId="29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top" wrapText="1"/>
    </xf>
    <xf numFmtId="0" fontId="29" fillId="6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top" wrapText="1"/>
    </xf>
    <xf numFmtId="0" fontId="29" fillId="8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top" wrapText="1"/>
    </xf>
    <xf numFmtId="0" fontId="29" fillId="3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top" wrapText="1"/>
    </xf>
    <xf numFmtId="0" fontId="29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165" fontId="10" fillId="0" borderId="2" xfId="0" applyNumberFormat="1" applyFont="1" applyBorder="1" applyAlignment="1">
      <alignment horizontal="center"/>
    </xf>
    <xf numFmtId="0" fontId="17" fillId="0" borderId="2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9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8" borderId="2" xfId="0" applyFont="1" applyFill="1" applyBorder="1" applyAlignment="1">
      <alignment horizontal="left" vertical="top" wrapText="1"/>
    </xf>
    <xf numFmtId="0" fontId="17" fillId="7" borderId="2" xfId="0" applyFont="1" applyFill="1" applyBorder="1" applyAlignment="1">
      <alignment horizontal="left" vertical="top" wrapText="1"/>
    </xf>
    <xf numFmtId="0" fontId="17" fillId="6" borderId="2" xfId="0" applyFont="1" applyFill="1" applyBorder="1" applyAlignment="1">
      <alignment horizontal="left" vertical="top" wrapText="1"/>
    </xf>
    <xf numFmtId="0" fontId="10" fillId="10" borderId="2" xfId="0" applyFont="1" applyFill="1" applyBorder="1" applyAlignment="1">
      <alignment horizontal="left" vertical="top" wrapText="1"/>
    </xf>
    <xf numFmtId="0" fontId="10" fillId="11" borderId="2" xfId="0" applyFont="1" applyFill="1" applyBorder="1" applyAlignment="1">
      <alignment horizontal="left" vertical="top" wrapText="1"/>
    </xf>
    <xf numFmtId="0" fontId="10" fillId="12" borderId="2" xfId="0" applyFont="1" applyFill="1" applyBorder="1" applyAlignment="1">
      <alignment horizontal="left" vertical="top" wrapText="1"/>
    </xf>
    <xf numFmtId="0" fontId="10" fillId="13" borderId="2" xfId="0" applyFont="1" applyFill="1" applyBorder="1" applyAlignment="1">
      <alignment horizontal="left" vertical="top" wrapText="1"/>
    </xf>
    <xf numFmtId="0" fontId="10" fillId="4" borderId="2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 wrapText="1"/>
    </xf>
    <xf numFmtId="0" fontId="10" fillId="14" borderId="2" xfId="0" applyFont="1" applyFill="1" applyBorder="1" applyAlignment="1">
      <alignment horizontal="left" vertical="top" wrapText="1"/>
    </xf>
    <xf numFmtId="0" fontId="17" fillId="4" borderId="2" xfId="0" applyFont="1" applyFill="1" applyBorder="1" applyAlignment="1">
      <alignment horizontal="left" vertical="top" wrapText="1"/>
    </xf>
    <xf numFmtId="0" fontId="17" fillId="8" borderId="2" xfId="0" applyFont="1" applyFill="1" applyBorder="1" applyAlignment="1">
      <alignment horizontal="left" vertical="top" wrapText="1"/>
    </xf>
    <xf numFmtId="0" fontId="16" fillId="8" borderId="2" xfId="0" applyFont="1" applyFill="1" applyBorder="1" applyAlignment="1">
      <alignment horizontal="left" vertical="center"/>
    </xf>
    <xf numFmtId="0" fontId="18" fillId="6" borderId="2" xfId="0" applyFont="1" applyFill="1" applyBorder="1" applyAlignment="1">
      <alignment horizontal="left" vertical="center"/>
    </xf>
    <xf numFmtId="0" fontId="19" fillId="7" borderId="2" xfId="0" applyFont="1" applyFill="1" applyBorder="1" applyAlignment="1">
      <alignment horizontal="left" vertical="center"/>
    </xf>
    <xf numFmtId="9" fontId="18" fillId="8" borderId="2" xfId="0" applyNumberFormat="1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/>
    </xf>
    <xf numFmtId="0" fontId="19" fillId="4" borderId="2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/>
    </xf>
    <xf numFmtId="0" fontId="24" fillId="15" borderId="3" xfId="0" applyFont="1" applyFill="1" applyBorder="1" applyAlignment="1">
      <alignment horizontal="left" vertical="center" indent="1"/>
    </xf>
    <xf numFmtId="0" fontId="24" fillId="17" borderId="3" xfId="0" applyFont="1" applyFill="1" applyBorder="1" applyAlignment="1">
      <alignment horizontal="left" vertical="center" indent="1"/>
    </xf>
    <xf numFmtId="0" fontId="24" fillId="18" borderId="3" xfId="0" applyFont="1" applyFill="1" applyBorder="1" applyAlignment="1">
      <alignment horizontal="left" vertical="center" indent="1"/>
    </xf>
    <xf numFmtId="0" fontId="24" fillId="19" borderId="3" xfId="0" applyFont="1" applyFill="1" applyBorder="1" applyAlignment="1">
      <alignment horizontal="left" vertical="center" indent="1"/>
    </xf>
    <xf numFmtId="0" fontId="24" fillId="20" borderId="3" xfId="0" applyFont="1" applyFill="1" applyBorder="1" applyAlignment="1">
      <alignment horizontal="left" vertical="center" indent="1"/>
    </xf>
    <xf numFmtId="0" fontId="9" fillId="0" borderId="0" xfId="0" applyFont="1" applyAlignment="1">
      <alignment horizontal="left" wrapText="1"/>
    </xf>
    <xf numFmtId="0" fontId="1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2E9"/>
      <rgbColor rgb="FFFF00FF"/>
      <rgbColor rgb="FF00FFFF"/>
      <rgbColor rgb="FF800000"/>
      <rgbColor rgb="FF008000"/>
      <rgbColor rgb="FF000080"/>
      <rgbColor rgb="FF616161"/>
      <rgbColor rgb="FF6A1B9A"/>
      <rgbColor rgb="FF008080"/>
      <rgbColor rgb="FFB0B0B0"/>
      <rgbColor rgb="FF878787"/>
      <rgbColor rgb="FFEAEDED"/>
      <rgbColor rgb="FFC0504D"/>
      <rgbColor rgb="FFFCF3CF"/>
      <rgbColor rgb="FFEAF3F8"/>
      <rgbColor rgb="FF660066"/>
      <rgbColor rgb="FFFF8080"/>
      <rgbColor rgb="FF0563C1"/>
      <rgbColor rgb="FFD9D9D9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D9E7F2"/>
      <rgbColor rgb="FFD5F5E3"/>
      <rgbColor rgb="FFFFF2A8"/>
      <rgbColor rgb="FFD5E8D4"/>
      <rgbColor rgb="FFFADBD8"/>
      <rgbColor rgb="FFE8DAEF"/>
      <rgbColor rgb="FFFFE0B2"/>
      <rgbColor rgb="FF1565C0"/>
      <rgbColor rgb="FF33CCCC"/>
      <rgbColor rgb="FF9BBB59"/>
      <rgbColor rgb="FFFFCC00"/>
      <rgbColor rgb="FFFF9900"/>
      <rgbColor rgb="FFE65100"/>
      <rgbColor rgb="FF8064A2"/>
      <rgbColor rgb="FF4F81BD"/>
      <rgbColor rgb="FF1F3A5F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Volume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Dashboard!$J$5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Dashboard!$I$6:$I$21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Dashboard!$J$6:$J$21</c:f>
              <c:numCache>
                <c:formatCode>General</c:formatCode>
                <c:ptCount val="16"/>
                <c:pt idx="0">
                  <c:v>265</c:v>
                </c:pt>
                <c:pt idx="1">
                  <c:v>290</c:v>
                </c:pt>
                <c:pt idx="2">
                  <c:v>305</c:v>
                </c:pt>
                <c:pt idx="3">
                  <c:v>290</c:v>
                </c:pt>
                <c:pt idx="4">
                  <c:v>300</c:v>
                </c:pt>
                <c:pt idx="5">
                  <c:v>326</c:v>
                </c:pt>
                <c:pt idx="6">
                  <c:v>312</c:v>
                </c:pt>
                <c:pt idx="7">
                  <c:v>312</c:v>
                </c:pt>
                <c:pt idx="8">
                  <c:v>323</c:v>
                </c:pt>
                <c:pt idx="9">
                  <c:v>284</c:v>
                </c:pt>
                <c:pt idx="10">
                  <c:v>303</c:v>
                </c:pt>
                <c:pt idx="11">
                  <c:v>323</c:v>
                </c:pt>
                <c:pt idx="12">
                  <c:v>293</c:v>
                </c:pt>
                <c:pt idx="13">
                  <c:v>314</c:v>
                </c:pt>
                <c:pt idx="14">
                  <c:v>220</c:v>
                </c:pt>
                <c:pt idx="15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9-4922-B007-F43C431CC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606716"/>
        <c:axId val="89900573"/>
      </c:barChart>
      <c:catAx>
        <c:axId val="626067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900573"/>
        <c:crosses val="autoZero"/>
        <c:auto val="1"/>
        <c:lblAlgn val="ctr"/>
        <c:lblOffset val="100"/>
        <c:noMultiLvlLbl val="0"/>
      </c:catAx>
      <c:valAx>
        <c:axId val="89900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606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Workout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Dashboard!$J$44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BF2-4C3B-8820-2EC3E010271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BF2-4C3B-8820-2EC3E010271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BF2-4C3B-8820-2EC3E010271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BF2-4C3B-8820-2EC3E010271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BF2-4C3B-8820-2EC3E010271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BF2-4C3B-8820-2EC3E010271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FBF2-4C3B-8820-2EC3E010271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FBF2-4C3B-8820-2EC3E01027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Dashboard!$I$45:$I$48</c:f>
              <c:strCache>
                <c:ptCount val="4"/>
                <c:pt idx="0">
                  <c:v>Completed</c:v>
                </c:pt>
                <c:pt idx="1">
                  <c:v>Modified</c:v>
                </c:pt>
                <c:pt idx="2">
                  <c:v>Missed</c:v>
                </c:pt>
                <c:pt idx="3">
                  <c:v>Planned</c:v>
                </c:pt>
              </c:strCache>
            </c:strRef>
          </c:cat>
          <c:val>
            <c:numRef>
              <c:f>Dashboard!$J$45:$J$48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F2-4C3B-8820-2EC3E0102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10800</xdr:rowOff>
    </xdr:from>
    <xdr:to>
      <xdr:col>6</xdr:col>
      <xdr:colOff>136080</xdr:colOff>
      <xdr:row>37</xdr:row>
      <xdr:rowOff>33120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10800</xdr:rowOff>
    </xdr:from>
    <xdr:to>
      <xdr:col>11</xdr:col>
      <xdr:colOff>513360</xdr:colOff>
      <xdr:row>37</xdr:row>
      <xdr:rowOff>33120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ohnStarrettRunningTraining_v1.1.1.xlsx" TargetMode="External"/><Relationship Id="rId7" Type="http://schemas.openxmlformats.org/officeDocument/2006/relationships/hyperlink" Target="JohnStarrettRunningTraining_v1.1.1.xlsx" TargetMode="External"/><Relationship Id="rId2" Type="http://schemas.openxmlformats.org/officeDocument/2006/relationships/hyperlink" Target="JohnStarrettRunningTraining_v1.1.1.xlsx" TargetMode="External"/><Relationship Id="rId1" Type="http://schemas.openxmlformats.org/officeDocument/2006/relationships/hyperlink" Target="JohnStarrettRunningTraining_v1.1.1.xlsx" TargetMode="External"/><Relationship Id="rId6" Type="http://schemas.openxmlformats.org/officeDocument/2006/relationships/hyperlink" Target="JohnStarrettRunningTraining_v1.1.1.xlsx" TargetMode="External"/><Relationship Id="rId5" Type="http://schemas.openxmlformats.org/officeDocument/2006/relationships/hyperlink" Target="JohnStarrettRunningTraining_v1.1.1.xlsx" TargetMode="External"/><Relationship Id="rId4" Type="http://schemas.openxmlformats.org/officeDocument/2006/relationships/hyperlink" Target="JohnStarrettRunningTraining_v1.1.1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7"/>
  <sheetViews>
    <sheetView showGridLines="0" zoomScaleNormal="100" workbookViewId="0">
      <selection activeCell="F27" sqref="F27"/>
    </sheetView>
  </sheetViews>
  <sheetFormatPr defaultColWidth="8.7109375" defaultRowHeight="15" x14ac:dyDescent="0.25"/>
  <cols>
    <col min="1" max="1" width="2" customWidth="1"/>
    <col min="2" max="2" width="24" customWidth="1"/>
    <col min="3" max="3" width="20" customWidth="1"/>
    <col min="4" max="4" width="22" customWidth="1"/>
    <col min="5" max="5" width="4" customWidth="1"/>
    <col min="6" max="7" width="24" customWidth="1"/>
    <col min="8" max="8" width="2" customWidth="1"/>
  </cols>
  <sheetData>
    <row r="2" spans="2:7" ht="39.75" customHeight="1" x14ac:dyDescent="0.25">
      <c r="B2" s="12" t="s">
        <v>340</v>
      </c>
      <c r="C2" s="12"/>
      <c r="D2" s="12"/>
      <c r="E2" s="12"/>
      <c r="F2" s="12"/>
      <c r="G2" s="12"/>
    </row>
    <row r="3" spans="2:7" ht="18.75" x14ac:dyDescent="0.25">
      <c r="B3" s="11" t="s">
        <v>0</v>
      </c>
      <c r="C3" s="11"/>
      <c r="D3" s="11"/>
      <c r="E3" s="11"/>
      <c r="F3" s="11"/>
      <c r="G3" s="11"/>
    </row>
    <row r="6" spans="2:7" ht="15" customHeight="1" x14ac:dyDescent="0.25">
      <c r="B6" s="10" t="s">
        <v>1</v>
      </c>
      <c r="C6" s="10"/>
      <c r="D6" s="10"/>
      <c r="F6" s="10" t="s">
        <v>2</v>
      </c>
      <c r="G6" s="10"/>
    </row>
    <row r="7" spans="2:7" ht="15" customHeight="1" x14ac:dyDescent="0.25">
      <c r="B7" s="13" t="s">
        <v>3</v>
      </c>
      <c r="C7" s="9" t="s">
        <v>4</v>
      </c>
      <c r="D7" s="9"/>
      <c r="F7" s="14" t="s">
        <v>5</v>
      </c>
      <c r="G7" s="14" t="s">
        <v>6</v>
      </c>
    </row>
    <row r="8" spans="2:7" ht="15" customHeight="1" x14ac:dyDescent="0.25">
      <c r="B8" s="13" t="s">
        <v>7</v>
      </c>
      <c r="C8" s="9" t="s">
        <v>8</v>
      </c>
      <c r="D8" s="9"/>
      <c r="F8" s="14" t="s">
        <v>9</v>
      </c>
      <c r="G8" s="14" t="s">
        <v>6</v>
      </c>
    </row>
    <row r="9" spans="2:7" ht="15" customHeight="1" x14ac:dyDescent="0.25">
      <c r="B9" s="13" t="s">
        <v>10</v>
      </c>
      <c r="C9" s="9" t="s">
        <v>11</v>
      </c>
      <c r="D9" s="9"/>
      <c r="F9" s="15" t="s">
        <v>12</v>
      </c>
      <c r="G9" s="15" t="s">
        <v>13</v>
      </c>
    </row>
    <row r="10" spans="2:7" ht="28.35" customHeight="1" x14ac:dyDescent="0.25">
      <c r="B10" s="13" t="s">
        <v>14</v>
      </c>
      <c r="C10" s="9" t="s">
        <v>15</v>
      </c>
      <c r="D10" s="9"/>
      <c r="F10" s="14" t="s">
        <v>16</v>
      </c>
      <c r="G10" s="14" t="s">
        <v>6</v>
      </c>
    </row>
    <row r="11" spans="2:7" ht="15" customHeight="1" x14ac:dyDescent="0.25">
      <c r="B11" s="13" t="s">
        <v>17</v>
      </c>
      <c r="C11" s="9" t="s">
        <v>18</v>
      </c>
      <c r="D11" s="9"/>
      <c r="F11" s="14" t="s">
        <v>19</v>
      </c>
      <c r="G11" s="14" t="s">
        <v>6</v>
      </c>
    </row>
    <row r="12" spans="2:7" ht="15" customHeight="1" x14ac:dyDescent="0.25">
      <c r="B12" s="13" t="s">
        <v>20</v>
      </c>
      <c r="C12" s="9" t="s">
        <v>21</v>
      </c>
      <c r="D12" s="9"/>
      <c r="F12" s="14" t="s">
        <v>22</v>
      </c>
      <c r="G12" s="14" t="s">
        <v>23</v>
      </c>
    </row>
    <row r="13" spans="2:7" x14ac:dyDescent="0.25">
      <c r="F13" s="14" t="s">
        <v>24</v>
      </c>
      <c r="G13" s="14" t="s">
        <v>23</v>
      </c>
    </row>
    <row r="15" spans="2:7" ht="15" customHeight="1" x14ac:dyDescent="0.25">
      <c r="B15" s="10" t="s">
        <v>25</v>
      </c>
      <c r="C15" s="10"/>
      <c r="D15" s="10"/>
      <c r="E15" s="10"/>
      <c r="F15" s="10"/>
      <c r="G15" s="10"/>
    </row>
    <row r="16" spans="2:7" ht="21.75" customHeight="1" x14ac:dyDescent="0.25">
      <c r="B16" s="8" t="s">
        <v>26</v>
      </c>
      <c r="C16" s="8"/>
      <c r="D16" s="8"/>
      <c r="E16" s="8"/>
      <c r="F16" s="8"/>
      <c r="G16" s="8"/>
    </row>
    <row r="17" spans="2:7" ht="21.75" customHeight="1" x14ac:dyDescent="0.25">
      <c r="B17" s="8" t="s">
        <v>27</v>
      </c>
      <c r="C17" s="8"/>
      <c r="D17" s="8"/>
      <c r="E17" s="8"/>
      <c r="F17" s="8"/>
      <c r="G17" s="8"/>
    </row>
    <row r="18" spans="2:7" ht="21.75" customHeight="1" x14ac:dyDescent="0.25">
      <c r="B18" s="8" t="s">
        <v>28</v>
      </c>
      <c r="C18" s="8"/>
      <c r="D18" s="8"/>
      <c r="E18" s="8"/>
      <c r="F18" s="8"/>
      <c r="G18" s="8"/>
    </row>
    <row r="19" spans="2:7" ht="21.75" customHeight="1" x14ac:dyDescent="0.25">
      <c r="B19" s="8" t="s">
        <v>29</v>
      </c>
      <c r="C19" s="8"/>
      <c r="D19" s="8"/>
      <c r="E19" s="8"/>
      <c r="F19" s="8"/>
      <c r="G19" s="8"/>
    </row>
    <row r="20" spans="2:7" ht="21.75" customHeight="1" x14ac:dyDescent="0.25">
      <c r="B20" s="8" t="s">
        <v>30</v>
      </c>
      <c r="C20" s="8"/>
      <c r="D20" s="8"/>
      <c r="E20" s="8"/>
      <c r="F20" s="8"/>
      <c r="G20" s="8"/>
    </row>
    <row r="21" spans="2:7" ht="21.75" customHeight="1" x14ac:dyDescent="0.25">
      <c r="B21" s="8" t="s">
        <v>31</v>
      </c>
      <c r="C21" s="8"/>
      <c r="D21" s="8"/>
      <c r="E21" s="8"/>
      <c r="F21" s="8"/>
      <c r="G21" s="8"/>
    </row>
    <row r="22" spans="2:7" ht="21.75" customHeight="1" x14ac:dyDescent="0.25">
      <c r="B22" s="8" t="s">
        <v>32</v>
      </c>
      <c r="C22" s="8"/>
      <c r="D22" s="8"/>
      <c r="E22" s="8"/>
      <c r="F22" s="8"/>
      <c r="G22" s="8"/>
    </row>
    <row r="24" spans="2:7" ht="15" customHeight="1" x14ac:dyDescent="0.25">
      <c r="B24" s="10" t="s">
        <v>33</v>
      </c>
      <c r="C24" s="10"/>
      <c r="D24" s="10"/>
      <c r="E24" s="10"/>
      <c r="F24" s="10"/>
      <c r="G24" s="10"/>
    </row>
    <row r="25" spans="2:7" ht="21.75" customHeight="1" x14ac:dyDescent="0.25">
      <c r="B25" s="16" t="s">
        <v>34</v>
      </c>
      <c r="C25" s="17" t="s">
        <v>35</v>
      </c>
      <c r="D25" s="16" t="s">
        <v>36</v>
      </c>
      <c r="E25" s="17" t="s">
        <v>35</v>
      </c>
      <c r="F25" s="16" t="s">
        <v>37</v>
      </c>
      <c r="G25" s="17" t="s">
        <v>35</v>
      </c>
    </row>
    <row r="26" spans="2:7" ht="21.75" customHeight="1" x14ac:dyDescent="0.25">
      <c r="B26" s="16" t="s">
        <v>38</v>
      </c>
      <c r="C26" s="17" t="s">
        <v>35</v>
      </c>
      <c r="D26" s="16" t="s">
        <v>39</v>
      </c>
      <c r="E26" s="17" t="s">
        <v>35</v>
      </c>
      <c r="F26" s="16" t="s">
        <v>40</v>
      </c>
      <c r="G26" s="17" t="s">
        <v>35</v>
      </c>
    </row>
    <row r="27" spans="2:7" ht="21.75" customHeight="1" x14ac:dyDescent="0.25">
      <c r="B27" s="16" t="s">
        <v>41</v>
      </c>
      <c r="C27" s="17" t="s">
        <v>35</v>
      </c>
    </row>
  </sheetData>
  <mergeCells count="19">
    <mergeCell ref="B20:G20"/>
    <mergeCell ref="B21:G21"/>
    <mergeCell ref="B22:G22"/>
    <mergeCell ref="B24:G24"/>
    <mergeCell ref="B15:G15"/>
    <mergeCell ref="B16:G16"/>
    <mergeCell ref="B17:G17"/>
    <mergeCell ref="B18:G18"/>
    <mergeCell ref="B19:G19"/>
    <mergeCell ref="C8:D8"/>
    <mergeCell ref="C9:D9"/>
    <mergeCell ref="C10:D10"/>
    <mergeCell ref="C11:D11"/>
    <mergeCell ref="C12:D12"/>
    <mergeCell ref="B2:G2"/>
    <mergeCell ref="B3:G3"/>
    <mergeCell ref="B6:D6"/>
    <mergeCell ref="F6:G6"/>
    <mergeCell ref="C7:D7"/>
  </mergeCells>
  <hyperlinks>
    <hyperlink ref="B25" r:id="rId1" location="Inputs!A1" xr:uid="{00000000-0004-0000-0000-000000000000}"/>
    <hyperlink ref="D25" r:id="rId2" location="Dashboard!A1" xr:uid="{00000000-0004-0000-0000-000001000000}"/>
    <hyperlink ref="F25" r:id="rId3" location="'SB%20Calendar'!A1" xr:uid="{00000000-0004-0000-0000-000002000000}"/>
    <hyperlink ref="B26" r:id="rId4" location="'Workout%20Library'!A1" xr:uid="{00000000-0004-0000-0000-000003000000}"/>
    <hyperlink ref="D26" r:id="rId5" location="'Paces%20&amp;%20Race%20Predictor'!A1" xr:uid="{00000000-0004-0000-0000-000004000000}"/>
    <hyperlink ref="F26" r:id="rId6" location="'Coach%20Philosophy'!A1" xr:uid="{00000000-0004-0000-0000-000005000000}"/>
    <hyperlink ref="B27" r:id="rId7" location="'Progress%20Log'!A1" xr:uid="{00000000-0004-0000-0000-00000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5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2" customWidth="1"/>
    <col min="3" max="3" width="22" customWidth="1"/>
    <col min="4" max="4" width="2" customWidth="1"/>
    <col min="5" max="5" width="60" customWidth="1"/>
  </cols>
  <sheetData>
    <row r="2" spans="2:5" ht="26.25" x14ac:dyDescent="0.25">
      <c r="B2" s="7" t="s">
        <v>34</v>
      </c>
      <c r="C2" s="7"/>
      <c r="D2" s="7"/>
      <c r="E2" s="7"/>
    </row>
    <row r="3" spans="2:5" x14ac:dyDescent="0.25">
      <c r="B3" s="6" t="s">
        <v>42</v>
      </c>
      <c r="C3" s="6"/>
      <c r="D3" s="6"/>
      <c r="E3" s="6"/>
    </row>
    <row r="5" spans="2:5" ht="15" customHeight="1" x14ac:dyDescent="0.25">
      <c r="B5" s="5" t="s">
        <v>43</v>
      </c>
      <c r="C5" s="5"/>
      <c r="E5" s="18" t="s">
        <v>44</v>
      </c>
    </row>
    <row r="6" spans="2:5" ht="30" customHeight="1" x14ac:dyDescent="0.25">
      <c r="B6" s="13" t="s">
        <v>45</v>
      </c>
      <c r="C6" s="19" t="s">
        <v>46</v>
      </c>
      <c r="E6" s="20" t="s">
        <v>47</v>
      </c>
    </row>
    <row r="7" spans="2:5" ht="30" customHeight="1" x14ac:dyDescent="0.25">
      <c r="E7" s="20" t="s">
        <v>48</v>
      </c>
    </row>
    <row r="8" spans="2:5" ht="30" customHeight="1" x14ac:dyDescent="0.25">
      <c r="B8" s="5" t="s">
        <v>49</v>
      </c>
      <c r="C8" s="5"/>
      <c r="E8" s="20" t="s">
        <v>50</v>
      </c>
    </row>
    <row r="9" spans="2:5" ht="30" customHeight="1" x14ac:dyDescent="0.25">
      <c r="B9" s="13" t="s">
        <v>51</v>
      </c>
      <c r="C9" s="21">
        <v>8</v>
      </c>
      <c r="E9" s="20" t="s">
        <v>52</v>
      </c>
    </row>
    <row r="10" spans="2:5" ht="30" customHeight="1" x14ac:dyDescent="0.25">
      <c r="B10" s="13" t="s">
        <v>53</v>
      </c>
      <c r="C10" s="21">
        <v>0</v>
      </c>
      <c r="E10" s="20" t="s">
        <v>54</v>
      </c>
    </row>
    <row r="11" spans="2:5" ht="30" customHeight="1" x14ac:dyDescent="0.25">
      <c r="B11" s="13" t="s">
        <v>55</v>
      </c>
      <c r="C11" s="22"/>
      <c r="E11" s="20" t="s">
        <v>56</v>
      </c>
    </row>
    <row r="12" spans="2:5" ht="30" customHeight="1" x14ac:dyDescent="0.25">
      <c r="B12" s="13" t="s">
        <v>57</v>
      </c>
      <c r="C12" s="22"/>
      <c r="E12" s="20" t="s">
        <v>58</v>
      </c>
    </row>
    <row r="14" spans="2:5" ht="15" customHeight="1" x14ac:dyDescent="0.25">
      <c r="B14" s="5" t="s">
        <v>59</v>
      </c>
      <c r="C14" s="5"/>
    </row>
    <row r="15" spans="2:5" x14ac:dyDescent="0.25">
      <c r="B15" s="13" t="s">
        <v>60</v>
      </c>
      <c r="C15" s="23">
        <v>46237</v>
      </c>
    </row>
    <row r="16" spans="2:5" x14ac:dyDescent="0.25">
      <c r="B16" s="24" t="s">
        <v>61</v>
      </c>
      <c r="C16" s="25">
        <f>C15+103</f>
        <v>46340</v>
      </c>
    </row>
    <row r="17" spans="2:3" ht="30" x14ac:dyDescent="0.25">
      <c r="B17" s="24" t="s">
        <v>62</v>
      </c>
      <c r="C17" s="25">
        <f>C15+111</f>
        <v>46348</v>
      </c>
    </row>
    <row r="19" spans="2:3" ht="15" customHeight="1" x14ac:dyDescent="0.25">
      <c r="B19" s="5" t="s">
        <v>63</v>
      </c>
      <c r="C19" s="5"/>
    </row>
    <row r="20" spans="2:3" x14ac:dyDescent="0.25">
      <c r="B20" s="26" t="s">
        <v>64</v>
      </c>
      <c r="C20" s="27" t="s">
        <v>65</v>
      </c>
    </row>
    <row r="21" spans="2:3" ht="30" x14ac:dyDescent="0.25">
      <c r="B21" s="26" t="s">
        <v>12</v>
      </c>
      <c r="C21" s="27" t="s">
        <v>66</v>
      </c>
    </row>
    <row r="22" spans="2:3" x14ac:dyDescent="0.25">
      <c r="B22" s="26" t="s">
        <v>67</v>
      </c>
      <c r="C22" s="27" t="s">
        <v>68</v>
      </c>
    </row>
    <row r="23" spans="2:3" x14ac:dyDescent="0.25">
      <c r="B23" s="26" t="s">
        <v>24</v>
      </c>
      <c r="C23" s="27" t="s">
        <v>68</v>
      </c>
    </row>
    <row r="24" spans="2:3" x14ac:dyDescent="0.25">
      <c r="B24" s="26" t="s">
        <v>69</v>
      </c>
      <c r="C24" s="27" t="s">
        <v>70</v>
      </c>
    </row>
    <row r="25" spans="2:3" ht="30" x14ac:dyDescent="0.25">
      <c r="B25" s="26" t="s">
        <v>71</v>
      </c>
      <c r="C25" s="27" t="s">
        <v>72</v>
      </c>
    </row>
  </sheetData>
  <mergeCells count="6">
    <mergeCell ref="B19:C19"/>
    <mergeCell ref="B2:E2"/>
    <mergeCell ref="B3:E3"/>
    <mergeCell ref="B5:C5"/>
    <mergeCell ref="B8:C8"/>
    <mergeCell ref="B14:C1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8"/>
  <sheetViews>
    <sheetView showGridLines="0" tabSelected="1" zoomScaleNormal="100" workbookViewId="0">
      <selection activeCell="B10" sqref="B10"/>
    </sheetView>
  </sheetViews>
  <sheetFormatPr defaultColWidth="8.7109375" defaultRowHeight="15" x14ac:dyDescent="0.25"/>
  <cols>
    <col min="1" max="1" width="2" customWidth="1"/>
    <col min="2" max="8" width="18" customWidth="1"/>
    <col min="9" max="11" width="12" customWidth="1"/>
  </cols>
  <sheetData>
    <row r="2" spans="2:11" ht="31.5" x14ac:dyDescent="0.25">
      <c r="B2" s="4" t="s">
        <v>36</v>
      </c>
      <c r="C2" s="4"/>
      <c r="D2" s="4"/>
      <c r="E2" s="4"/>
      <c r="F2" s="4"/>
      <c r="G2" s="4"/>
      <c r="H2" s="4"/>
    </row>
    <row r="3" spans="2:11" x14ac:dyDescent="0.25">
      <c r="B3" s="3" t="s">
        <v>73</v>
      </c>
      <c r="C3" s="3"/>
      <c r="D3" s="3"/>
      <c r="E3" s="3"/>
      <c r="F3" s="3"/>
      <c r="G3" s="3"/>
      <c r="H3" s="3"/>
    </row>
    <row r="5" spans="2:11" x14ac:dyDescent="0.25">
      <c r="B5" s="2" t="s">
        <v>74</v>
      </c>
      <c r="C5" s="2"/>
      <c r="D5" s="1" t="s">
        <v>75</v>
      </c>
      <c r="E5" s="1"/>
      <c r="F5" s="110" t="s">
        <v>76</v>
      </c>
      <c r="G5" s="110"/>
      <c r="I5" s="28" t="s">
        <v>77</v>
      </c>
      <c r="J5" s="28" t="s">
        <v>78</v>
      </c>
      <c r="K5" s="28" t="s">
        <v>79</v>
      </c>
    </row>
    <row r="6" spans="2:11" ht="31.5" customHeight="1" x14ac:dyDescent="0.25">
      <c r="B6" s="111">
        <f ca="1">IF(TODAY()&lt;StartDate,0,MIN(16,INT((TODAY()-StartDate)/7)+1))</f>
        <v>0</v>
      </c>
      <c r="C6" s="111"/>
      <c r="D6" s="112" t="str">
        <f ca="1">IF(TODAY()&lt;StartDate,"Not started",IF(TODAY()&gt;EndDate,"Complete",IF(INT((TODAY()-StartDate)/7)+1&lt;=4,"Super Base — Tempo Build",IF(INT((TODAY()-StartDate)/7)+1=5,"Super Base — Transition to V",IF(INT((TODAY()-StartDate)/7)+1&lt;=10,"Super Base — V Descent",IF(INT((TODAY()-StartDate)/7)+1&lt;=14,"Super Base — V Ascent → Peak",IF(INT((TODAY()-StartDate)/7)+1=15,"Race Week (taper + race)","Recovery")))))))</f>
        <v>Not started</v>
      </c>
      <c r="E6" s="112"/>
      <c r="F6" s="113">
        <f ca="1">IF(TODAY()&lt;StartDate,0,MIN(1,(TODAY()-StartDate)/(16*7)))</f>
        <v>0</v>
      </c>
      <c r="G6" s="113"/>
      <c r="I6" s="29">
        <v>1</v>
      </c>
      <c r="J6" s="29">
        <v>265</v>
      </c>
      <c r="K6" s="29">
        <v>1</v>
      </c>
    </row>
    <row r="7" spans="2:11" x14ac:dyDescent="0.25">
      <c r="I7" s="29">
        <v>2</v>
      </c>
      <c r="J7" s="29">
        <v>290</v>
      </c>
      <c r="K7" s="29">
        <v>1</v>
      </c>
    </row>
    <row r="8" spans="2:11" x14ac:dyDescent="0.25">
      <c r="B8" s="1" t="s">
        <v>80</v>
      </c>
      <c r="C8" s="1"/>
      <c r="D8" s="114" t="s">
        <v>81</v>
      </c>
      <c r="E8" s="114"/>
      <c r="F8" s="114" t="s">
        <v>82</v>
      </c>
      <c r="G8" s="114"/>
      <c r="I8" s="29">
        <v>3</v>
      </c>
      <c r="J8" s="29">
        <v>305</v>
      </c>
      <c r="K8" s="29">
        <v>1</v>
      </c>
    </row>
    <row r="9" spans="2:11" ht="31.5" customHeight="1" x14ac:dyDescent="0.25">
      <c r="B9" s="112" t="str">
        <f>TEXT(INT(((T_min*60+T_sec))/60),"0")&amp;":"&amp;TEXT(MOD((T_min*60+T_sec),60),"00")</f>
        <v>8:00</v>
      </c>
      <c r="C9" s="112"/>
      <c r="D9" s="115" t="str">
        <f>TEXT(RaceDate,"ddd, mmm d")</f>
        <v>Sat, Nov 14</v>
      </c>
      <c r="E9" s="115"/>
      <c r="F9" s="116">
        <f ca="1">IF(TODAY()&gt;RaceDate,"Completed",RaceDate-TODAY())</f>
        <v>114</v>
      </c>
      <c r="G9" s="116"/>
      <c r="I9" s="29">
        <v>4</v>
      </c>
      <c r="J9" s="29">
        <v>290</v>
      </c>
      <c r="K9" s="29">
        <v>1</v>
      </c>
    </row>
    <row r="10" spans="2:11" x14ac:dyDescent="0.25">
      <c r="I10" s="29">
        <v>5</v>
      </c>
      <c r="J10" s="29">
        <v>300</v>
      </c>
      <c r="K10" s="29">
        <v>1</v>
      </c>
    </row>
    <row r="11" spans="2:11" ht="15" customHeight="1" x14ac:dyDescent="0.25">
      <c r="B11" s="10" t="s">
        <v>83</v>
      </c>
      <c r="C11" s="10"/>
      <c r="D11" s="10"/>
      <c r="E11" s="10"/>
      <c r="F11" s="10"/>
      <c r="G11" s="10"/>
      <c r="I11" s="29">
        <v>6</v>
      </c>
      <c r="J11" s="29">
        <v>326</v>
      </c>
      <c r="K11" s="29">
        <v>1</v>
      </c>
    </row>
    <row r="12" spans="2:11" ht="45" customHeight="1" x14ac:dyDescent="0.25">
      <c r="B12" s="30" t="s">
        <v>84</v>
      </c>
      <c r="C12" s="117" t="str">
        <f ca="1">IF(TODAY()&lt;StartDate,"Not started",IF(INT((TODAY()-StartDate)/7)+1&gt;16,"Plan complete",INDEX('SB Calendar'!$G$4:$G$19,INT((TODAY()-StartDate)/7)+1)))</f>
        <v>Not started</v>
      </c>
      <c r="D12" s="117"/>
      <c r="E12" s="117"/>
      <c r="F12" s="117"/>
      <c r="G12" s="117"/>
      <c r="I12" s="29">
        <v>7</v>
      </c>
      <c r="J12" s="29">
        <v>312</v>
      </c>
      <c r="K12" s="29">
        <v>1</v>
      </c>
    </row>
    <row r="13" spans="2:11" ht="45" customHeight="1" x14ac:dyDescent="0.25">
      <c r="B13" s="31" t="s">
        <v>85</v>
      </c>
      <c r="C13" s="118" t="str">
        <f ca="1">IF(TODAY()&lt;StartDate,"Not started",IF(INT((TODAY()-StartDate)/7)+1&gt;16,"Plan complete",INDEX('SB Calendar'!$J$4:$J$19,INT((TODAY()-StartDate)/7)+1)))</f>
        <v>Not started</v>
      </c>
      <c r="D13" s="118"/>
      <c r="E13" s="118"/>
      <c r="F13" s="118"/>
      <c r="G13" s="118"/>
      <c r="I13" s="29">
        <v>8</v>
      </c>
      <c r="J13" s="29">
        <v>312</v>
      </c>
      <c r="K13" s="29">
        <v>1</v>
      </c>
    </row>
    <row r="14" spans="2:11" x14ac:dyDescent="0.25">
      <c r="I14" s="29">
        <v>9</v>
      </c>
      <c r="J14" s="29">
        <v>323</v>
      </c>
      <c r="K14" s="29">
        <v>1</v>
      </c>
    </row>
    <row r="15" spans="2:11" ht="15" customHeight="1" x14ac:dyDescent="0.25">
      <c r="B15" s="10" t="s">
        <v>86</v>
      </c>
      <c r="C15" s="10"/>
      <c r="D15" s="10"/>
      <c r="E15" s="10"/>
      <c r="F15" s="10"/>
      <c r="G15" s="10"/>
      <c r="I15" s="29">
        <v>10</v>
      </c>
      <c r="J15" s="29">
        <v>284</v>
      </c>
      <c r="K15" s="29">
        <v>1</v>
      </c>
    </row>
    <row r="16" spans="2:11" ht="15" customHeight="1" x14ac:dyDescent="0.25">
      <c r="B16" s="13" t="s">
        <v>87</v>
      </c>
      <c r="C16" s="32" t="s">
        <v>88</v>
      </c>
      <c r="D16" s="32" t="s">
        <v>89</v>
      </c>
      <c r="E16" s="119" t="s">
        <v>90</v>
      </c>
      <c r="F16" s="119"/>
      <c r="G16" s="119"/>
      <c r="I16" s="29">
        <v>11</v>
      </c>
      <c r="J16" s="29">
        <v>303</v>
      </c>
      <c r="K16" s="29">
        <v>1</v>
      </c>
    </row>
    <row r="17" spans="2:11" ht="15" customHeight="1" x14ac:dyDescent="0.25">
      <c r="B17" s="33" t="s">
        <v>91</v>
      </c>
      <c r="C17" s="34" t="str">
        <f>TEXT(INT((((T_min*60+T_sec)+-25))/60),"0")&amp;":"&amp;TEXT(MOD(((T_min*60+T_sec)+-25),60),"00")&amp;"/mi"</f>
        <v>7:35/mi</v>
      </c>
      <c r="D17" s="35" t="str">
        <f>IF((3.10686*((T_min*60+T_sec)+-25))&gt;=3600,INT((3.10686*((T_min*60+T_sec)+-25))/3600)&amp;":"&amp;TEXT(INT(MOD((3.10686*((T_min*60+T_sec)+-25)),3600)/60),"00")&amp;":"&amp;TEXT(MOD((3.10686*((T_min*60+T_sec)+-25)),60),"00"),INT((3.10686*((T_min*60+T_sec)+-25))/60)&amp;":"&amp;TEXT(MOD((3.10686*((T_min*60+T_sec)+-25)),60),"00"))</f>
        <v>23:34</v>
      </c>
      <c r="E17" s="120" t="s">
        <v>92</v>
      </c>
      <c r="F17" s="120"/>
      <c r="G17" s="120"/>
      <c r="I17" s="29">
        <v>12</v>
      </c>
      <c r="J17" s="29">
        <v>323</v>
      </c>
      <c r="K17" s="29">
        <v>1</v>
      </c>
    </row>
    <row r="18" spans="2:11" ht="15" customHeight="1" x14ac:dyDescent="0.25">
      <c r="B18" s="33" t="s">
        <v>93</v>
      </c>
      <c r="C18" s="34" t="str">
        <f>TEXT(INT((((T_min*60+T_sec)+-12))/60),"0")&amp;":"&amp;TEXT(MOD(((T_min*60+T_sec)+-12),60),"00")&amp;"/mi"</f>
        <v>7:48/mi</v>
      </c>
      <c r="D18" s="35" t="str">
        <f>IF((6.21371*((T_min*60+T_sec)+-12))&gt;=3600,INT((6.21371*((T_min*60+T_sec)+-12))/3600)&amp;":"&amp;TEXT(INT(MOD((6.21371*((T_min*60+T_sec)+-12)),3600)/60),"00")&amp;":"&amp;TEXT(MOD((6.21371*((T_min*60+T_sec)+-12)),60),"00"),INT((6.21371*((T_min*60+T_sec)+-12))/60)&amp;":"&amp;TEXT(MOD((6.21371*((T_min*60+T_sec)+-12)),60),"00"))</f>
        <v>48:28</v>
      </c>
      <c r="E18" s="120" t="s">
        <v>94</v>
      </c>
      <c r="F18" s="120"/>
      <c r="G18" s="120"/>
      <c r="I18" s="29">
        <v>13</v>
      </c>
      <c r="J18" s="29">
        <v>293</v>
      </c>
      <c r="K18" s="29">
        <v>1</v>
      </c>
    </row>
    <row r="19" spans="2:11" ht="15" customHeight="1" x14ac:dyDescent="0.25">
      <c r="B19" s="33" t="s">
        <v>95</v>
      </c>
      <c r="C19" s="34" t="str">
        <f>TEXT(INT((((T_min*60+T_sec)+7))/60),"0")&amp;":"&amp;TEXT(MOD(((T_min*60+T_sec)+7),60),"00")&amp;"/mi"</f>
        <v>8:07/mi</v>
      </c>
      <c r="D19" s="35" t="str">
        <f>IF((13.10938*((T_min*60+T_sec)+7))&gt;=3600,INT((13.10938*((T_min*60+T_sec)+7))/3600)&amp;":"&amp;TEXT(INT(MOD((13.10938*((T_min*60+T_sec)+7)),3600)/60),"00")&amp;":"&amp;TEXT(MOD((13.10938*((T_min*60+T_sec)+7)),60),"00"),INT((13.10938*((T_min*60+T_sec)+7))/60)&amp;":"&amp;TEXT(MOD((13.10938*((T_min*60+T_sec)+7)),60),"00"))</f>
        <v>1:46:24</v>
      </c>
      <c r="E19" s="120" t="s">
        <v>96</v>
      </c>
      <c r="F19" s="120"/>
      <c r="G19" s="120"/>
      <c r="I19" s="29">
        <v>14</v>
      </c>
      <c r="J19" s="29">
        <v>314</v>
      </c>
      <c r="K19" s="29">
        <v>1</v>
      </c>
    </row>
    <row r="20" spans="2:11" ht="15" customHeight="1" x14ac:dyDescent="0.25">
      <c r="B20" s="33" t="s">
        <v>97</v>
      </c>
      <c r="C20" s="34" t="str">
        <f>TEXT(INT((((T_min*60+T_sec)+27))/60),"0")&amp;":"&amp;TEXT(MOD(((T_min*60+T_sec)+27),60),"00")&amp;"/mi"</f>
        <v>8:27/mi</v>
      </c>
      <c r="D20" s="35" t="str">
        <f>IF((26.21876*((T_min*60+T_sec)+27))&gt;=3600,INT((26.21876*((T_min*60+T_sec)+27))/3600)&amp;":"&amp;TEXT(INT(MOD((26.21876*((T_min*60+T_sec)+27)),3600)/60),"00")&amp;":"&amp;TEXT(MOD((26.21876*((T_min*60+T_sec)+27)),60),"00"),INT((26.21876*((T_min*60+T_sec)+27))/60)&amp;":"&amp;TEXT(MOD((26.21876*((T_min*60+T_sec)+27)),60),"00"))</f>
        <v>3:41:33</v>
      </c>
      <c r="E20" s="120" t="s">
        <v>98</v>
      </c>
      <c r="F20" s="120"/>
      <c r="G20" s="120"/>
      <c r="I20" s="29">
        <v>15</v>
      </c>
      <c r="J20" s="29">
        <v>220</v>
      </c>
      <c r="K20" s="29">
        <v>1</v>
      </c>
    </row>
    <row r="21" spans="2:11" x14ac:dyDescent="0.25">
      <c r="I21" s="29">
        <v>16</v>
      </c>
      <c r="J21" s="29">
        <v>160</v>
      </c>
      <c r="K21" s="29">
        <v>0</v>
      </c>
    </row>
    <row r="44" spans="9:10" x14ac:dyDescent="0.25">
      <c r="I44" s="36" t="s">
        <v>99</v>
      </c>
      <c r="J44" s="36" t="s">
        <v>100</v>
      </c>
    </row>
    <row r="45" spans="9:10" x14ac:dyDescent="0.25">
      <c r="I45" t="s">
        <v>101</v>
      </c>
      <c r="J45" s="29">
        <f>COUNTIF('Progress Log'!G:G,"Completed")</f>
        <v>0</v>
      </c>
    </row>
    <row r="46" spans="9:10" x14ac:dyDescent="0.25">
      <c r="I46" t="s">
        <v>102</v>
      </c>
      <c r="J46" s="29">
        <f>COUNTIF('Progress Log'!G:G,"Modified")</f>
        <v>0</v>
      </c>
    </row>
    <row r="47" spans="9:10" x14ac:dyDescent="0.25">
      <c r="I47" t="s">
        <v>103</v>
      </c>
      <c r="J47" s="29">
        <f>COUNTIF('Progress Log'!G:G,"Missed")</f>
        <v>0</v>
      </c>
    </row>
    <row r="48" spans="9:10" x14ac:dyDescent="0.25">
      <c r="I48" t="s">
        <v>104</v>
      </c>
      <c r="J48" s="29">
        <f>COUNTIF('Progress Log'!G:G,"Planned")</f>
        <v>0</v>
      </c>
    </row>
  </sheetData>
  <mergeCells count="23">
    <mergeCell ref="E19:G19"/>
    <mergeCell ref="E20:G20"/>
    <mergeCell ref="C13:G13"/>
    <mergeCell ref="B15:G15"/>
    <mergeCell ref="E16:G16"/>
    <mergeCell ref="E17:G17"/>
    <mergeCell ref="E18:G18"/>
    <mergeCell ref="B9:C9"/>
    <mergeCell ref="D9:E9"/>
    <mergeCell ref="F9:G9"/>
    <mergeCell ref="B11:G11"/>
    <mergeCell ref="C12:G12"/>
    <mergeCell ref="B6:C6"/>
    <mergeCell ref="D6:E6"/>
    <mergeCell ref="F6:G6"/>
    <mergeCell ref="B8:C8"/>
    <mergeCell ref="D8:E8"/>
    <mergeCell ref="F8:G8"/>
    <mergeCell ref="B2:H2"/>
    <mergeCell ref="B3:H3"/>
    <mergeCell ref="B5:C5"/>
    <mergeCell ref="D5:E5"/>
    <mergeCell ref="F5:G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19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ColWidth="8.7109375" defaultRowHeight="15" x14ac:dyDescent="0.25"/>
  <cols>
    <col min="1" max="1" width="2" customWidth="1"/>
    <col min="2" max="2" width="5" customWidth="1"/>
    <col min="3" max="3" width="14" customWidth="1"/>
    <col min="4" max="4" width="30" customWidth="1"/>
    <col min="5" max="6" width="20" customWidth="1"/>
    <col min="7" max="7" width="45" customWidth="1"/>
    <col min="8" max="9" width="20" customWidth="1"/>
    <col min="10" max="10" width="45" customWidth="1"/>
    <col min="11" max="11" width="20" customWidth="1"/>
    <col min="12" max="12" width="42" customWidth="1"/>
  </cols>
  <sheetData>
    <row r="2" spans="2:12" ht="26.25" x14ac:dyDescent="0.4">
      <c r="B2" s="121" t="s">
        <v>105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</row>
    <row r="3" spans="2:12" x14ac:dyDescent="0.25">
      <c r="B3" s="18" t="s">
        <v>77</v>
      </c>
      <c r="C3" s="18" t="s">
        <v>106</v>
      </c>
      <c r="D3" s="18" t="s">
        <v>107</v>
      </c>
      <c r="E3" s="18" t="s">
        <v>108</v>
      </c>
      <c r="F3" s="18" t="s">
        <v>109</v>
      </c>
      <c r="G3" s="18" t="s">
        <v>110</v>
      </c>
      <c r="H3" s="18" t="s">
        <v>111</v>
      </c>
      <c r="I3" s="18" t="s">
        <v>112</v>
      </c>
      <c r="J3" s="18" t="s">
        <v>113</v>
      </c>
      <c r="K3" s="18" t="s">
        <v>114</v>
      </c>
      <c r="L3" s="18" t="s">
        <v>115</v>
      </c>
    </row>
    <row r="4" spans="2:12" ht="84.75" customHeight="1" x14ac:dyDescent="0.25">
      <c r="B4" s="37">
        <v>1</v>
      </c>
      <c r="C4" s="38">
        <f>StartDate+(1-1)*7</f>
        <v>46237</v>
      </c>
      <c r="D4" s="39" t="s">
        <v>116</v>
      </c>
      <c r="E4" s="14" t="s">
        <v>117</v>
      </c>
      <c r="F4" s="40" t="s">
        <v>118</v>
      </c>
      <c r="G4" s="41" t="s">
        <v>119</v>
      </c>
      <c r="H4" s="14" t="s">
        <v>117</v>
      </c>
      <c r="I4" s="40" t="s">
        <v>118</v>
      </c>
      <c r="J4" s="42" t="s">
        <v>120</v>
      </c>
      <c r="K4" s="14" t="s">
        <v>121</v>
      </c>
      <c r="L4" s="43" t="s">
        <v>122</v>
      </c>
    </row>
    <row r="5" spans="2:12" ht="84.75" customHeight="1" x14ac:dyDescent="0.25">
      <c r="B5" s="37">
        <v>2</v>
      </c>
      <c r="C5" s="38">
        <f>StartDate+(2-1)*7</f>
        <v>46244</v>
      </c>
      <c r="D5" s="39" t="s">
        <v>123</v>
      </c>
      <c r="E5" s="14" t="s">
        <v>117</v>
      </c>
      <c r="F5" s="40" t="s">
        <v>118</v>
      </c>
      <c r="G5" s="41" t="s">
        <v>124</v>
      </c>
      <c r="H5" s="14" t="s">
        <v>117</v>
      </c>
      <c r="I5" s="40" t="s">
        <v>118</v>
      </c>
      <c r="J5" s="42" t="s">
        <v>125</v>
      </c>
      <c r="K5" s="14" t="s">
        <v>121</v>
      </c>
      <c r="L5" s="43" t="s">
        <v>126</v>
      </c>
    </row>
    <row r="6" spans="2:12" ht="84.75" customHeight="1" x14ac:dyDescent="0.25">
      <c r="B6" s="37">
        <v>3</v>
      </c>
      <c r="C6" s="38">
        <f>StartDate+(3-1)*7</f>
        <v>46251</v>
      </c>
      <c r="D6" s="39" t="s">
        <v>127</v>
      </c>
      <c r="E6" s="14" t="s">
        <v>117</v>
      </c>
      <c r="F6" s="40" t="s">
        <v>118</v>
      </c>
      <c r="G6" s="41" t="s">
        <v>128</v>
      </c>
      <c r="H6" s="14" t="s">
        <v>117</v>
      </c>
      <c r="I6" s="40" t="s">
        <v>118</v>
      </c>
      <c r="J6" s="42" t="s">
        <v>129</v>
      </c>
      <c r="K6" s="14" t="s">
        <v>121</v>
      </c>
      <c r="L6" s="43" t="s">
        <v>130</v>
      </c>
    </row>
    <row r="7" spans="2:12" ht="84.75" customHeight="1" x14ac:dyDescent="0.25">
      <c r="B7" s="37">
        <v>4</v>
      </c>
      <c r="C7" s="38">
        <f>StartDate+(4-1)*7</f>
        <v>46258</v>
      </c>
      <c r="D7" s="39" t="s">
        <v>131</v>
      </c>
      <c r="E7" s="14" t="s">
        <v>117</v>
      </c>
      <c r="F7" s="40" t="s">
        <v>118</v>
      </c>
      <c r="G7" s="41" t="s">
        <v>132</v>
      </c>
      <c r="H7" s="14" t="s">
        <v>117</v>
      </c>
      <c r="I7" s="40" t="s">
        <v>118</v>
      </c>
      <c r="J7" s="42" t="s">
        <v>133</v>
      </c>
      <c r="K7" s="14" t="s">
        <v>121</v>
      </c>
      <c r="L7" s="43" t="s">
        <v>134</v>
      </c>
    </row>
    <row r="8" spans="2:12" ht="84.75" customHeight="1" x14ac:dyDescent="0.25">
      <c r="B8" s="44">
        <v>5</v>
      </c>
      <c r="C8" s="45">
        <f>StartDate+(5-1)*7</f>
        <v>46265</v>
      </c>
      <c r="D8" s="46" t="s">
        <v>135</v>
      </c>
      <c r="E8" s="14" t="s">
        <v>117</v>
      </c>
      <c r="F8" s="40" t="s">
        <v>118</v>
      </c>
      <c r="G8" s="41" t="s">
        <v>136</v>
      </c>
      <c r="H8" s="14" t="s">
        <v>117</v>
      </c>
      <c r="I8" s="40" t="s">
        <v>118</v>
      </c>
      <c r="J8" s="42" t="s">
        <v>137</v>
      </c>
      <c r="K8" s="14" t="s">
        <v>121</v>
      </c>
      <c r="L8" s="47" t="s">
        <v>138</v>
      </c>
    </row>
    <row r="9" spans="2:12" ht="84.75" customHeight="1" x14ac:dyDescent="0.25">
      <c r="B9" s="48">
        <v>6</v>
      </c>
      <c r="C9" s="49">
        <f>StartDate+(6-1)*7</f>
        <v>46272</v>
      </c>
      <c r="D9" s="50" t="s">
        <v>139</v>
      </c>
      <c r="E9" s="14" t="s">
        <v>117</v>
      </c>
      <c r="F9" s="40" t="s">
        <v>118</v>
      </c>
      <c r="G9" s="41" t="s">
        <v>140</v>
      </c>
      <c r="H9" s="14" t="s">
        <v>117</v>
      </c>
      <c r="I9" s="40" t="s">
        <v>118</v>
      </c>
      <c r="J9" s="42" t="s">
        <v>141</v>
      </c>
      <c r="K9" s="14" t="s">
        <v>121</v>
      </c>
      <c r="L9" s="51" t="s">
        <v>142</v>
      </c>
    </row>
    <row r="10" spans="2:12" ht="84.75" customHeight="1" x14ac:dyDescent="0.25">
      <c r="B10" s="48">
        <v>7</v>
      </c>
      <c r="C10" s="49">
        <f>StartDate+(7-1)*7</f>
        <v>46279</v>
      </c>
      <c r="D10" s="50" t="s">
        <v>143</v>
      </c>
      <c r="E10" s="14" t="s">
        <v>117</v>
      </c>
      <c r="F10" s="40" t="s">
        <v>118</v>
      </c>
      <c r="G10" s="41" t="s">
        <v>144</v>
      </c>
      <c r="H10" s="14" t="s">
        <v>117</v>
      </c>
      <c r="I10" s="40" t="s">
        <v>118</v>
      </c>
      <c r="J10" s="42" t="s">
        <v>145</v>
      </c>
      <c r="K10" s="14" t="s">
        <v>121</v>
      </c>
      <c r="L10" s="51" t="s">
        <v>146</v>
      </c>
    </row>
    <row r="11" spans="2:12" ht="84.75" customHeight="1" x14ac:dyDescent="0.25">
      <c r="B11" s="48">
        <v>8</v>
      </c>
      <c r="C11" s="49">
        <f>StartDate+(8-1)*7</f>
        <v>46286</v>
      </c>
      <c r="D11" s="50" t="s">
        <v>147</v>
      </c>
      <c r="E11" s="14" t="s">
        <v>117</v>
      </c>
      <c r="F11" s="40" t="s">
        <v>118</v>
      </c>
      <c r="G11" s="41" t="s">
        <v>148</v>
      </c>
      <c r="H11" s="14" t="s">
        <v>117</v>
      </c>
      <c r="I11" s="40" t="s">
        <v>118</v>
      </c>
      <c r="J11" s="42" t="s">
        <v>149</v>
      </c>
      <c r="K11" s="14" t="s">
        <v>121</v>
      </c>
      <c r="L11" s="51" t="s">
        <v>150</v>
      </c>
    </row>
    <row r="12" spans="2:12" ht="84.75" customHeight="1" x14ac:dyDescent="0.25">
      <c r="B12" s="48">
        <v>9</v>
      </c>
      <c r="C12" s="49">
        <f>StartDate+(9-1)*7</f>
        <v>46293</v>
      </c>
      <c r="D12" s="50" t="s">
        <v>151</v>
      </c>
      <c r="E12" s="14" t="s">
        <v>117</v>
      </c>
      <c r="F12" s="40" t="s">
        <v>118</v>
      </c>
      <c r="G12" s="41" t="s">
        <v>152</v>
      </c>
      <c r="H12" s="14" t="s">
        <v>117</v>
      </c>
      <c r="I12" s="40" t="s">
        <v>118</v>
      </c>
      <c r="J12" s="42" t="s">
        <v>153</v>
      </c>
      <c r="K12" s="14" t="s">
        <v>121</v>
      </c>
      <c r="L12" s="51" t="s">
        <v>154</v>
      </c>
    </row>
    <row r="13" spans="2:12" ht="84.75" customHeight="1" x14ac:dyDescent="0.25">
      <c r="B13" s="48">
        <v>10</v>
      </c>
      <c r="C13" s="49">
        <f>StartDate+(10-1)*7</f>
        <v>46300</v>
      </c>
      <c r="D13" s="50" t="s">
        <v>155</v>
      </c>
      <c r="E13" s="14" t="s">
        <v>117</v>
      </c>
      <c r="F13" s="40" t="s">
        <v>118</v>
      </c>
      <c r="G13" s="41" t="s">
        <v>156</v>
      </c>
      <c r="H13" s="14" t="s">
        <v>117</v>
      </c>
      <c r="I13" s="40" t="s">
        <v>118</v>
      </c>
      <c r="J13" s="42" t="s">
        <v>157</v>
      </c>
      <c r="K13" s="14" t="s">
        <v>121</v>
      </c>
      <c r="L13" s="51" t="s">
        <v>158</v>
      </c>
    </row>
    <row r="14" spans="2:12" ht="84.75" customHeight="1" x14ac:dyDescent="0.25">
      <c r="B14" s="52">
        <v>11</v>
      </c>
      <c r="C14" s="53">
        <f>StartDate+(11-1)*7</f>
        <v>46307</v>
      </c>
      <c r="D14" s="54" t="s">
        <v>159</v>
      </c>
      <c r="E14" s="14" t="s">
        <v>117</v>
      </c>
      <c r="F14" s="40" t="s">
        <v>118</v>
      </c>
      <c r="G14" s="41" t="s">
        <v>152</v>
      </c>
      <c r="H14" s="14" t="s">
        <v>117</v>
      </c>
      <c r="I14" s="40" t="s">
        <v>118</v>
      </c>
      <c r="J14" s="42" t="s">
        <v>160</v>
      </c>
      <c r="K14" s="14" t="s">
        <v>121</v>
      </c>
      <c r="L14" s="55" t="s">
        <v>161</v>
      </c>
    </row>
    <row r="15" spans="2:12" ht="84.75" customHeight="1" x14ac:dyDescent="0.25">
      <c r="B15" s="52">
        <v>12</v>
      </c>
      <c r="C15" s="53">
        <f>StartDate+(12-1)*7</f>
        <v>46314</v>
      </c>
      <c r="D15" s="54" t="s">
        <v>162</v>
      </c>
      <c r="E15" s="14" t="s">
        <v>117</v>
      </c>
      <c r="F15" s="40" t="s">
        <v>118</v>
      </c>
      <c r="G15" s="41" t="s">
        <v>163</v>
      </c>
      <c r="H15" s="14" t="s">
        <v>117</v>
      </c>
      <c r="I15" s="40" t="s">
        <v>118</v>
      </c>
      <c r="J15" s="42" t="s">
        <v>164</v>
      </c>
      <c r="K15" s="14" t="s">
        <v>121</v>
      </c>
      <c r="L15" s="55" t="s">
        <v>165</v>
      </c>
    </row>
    <row r="16" spans="2:12" ht="84.75" customHeight="1" x14ac:dyDescent="0.25">
      <c r="B16" s="52">
        <v>13</v>
      </c>
      <c r="C16" s="53">
        <f>StartDate+(13-1)*7</f>
        <v>46321</v>
      </c>
      <c r="D16" s="54" t="s">
        <v>166</v>
      </c>
      <c r="E16" s="14" t="s">
        <v>117</v>
      </c>
      <c r="F16" s="40" t="s">
        <v>118</v>
      </c>
      <c r="G16" s="41" t="s">
        <v>167</v>
      </c>
      <c r="H16" s="14" t="s">
        <v>117</v>
      </c>
      <c r="I16" s="40" t="s">
        <v>118</v>
      </c>
      <c r="J16" s="42" t="s">
        <v>168</v>
      </c>
      <c r="K16" s="14" t="s">
        <v>121</v>
      </c>
      <c r="L16" s="55" t="s">
        <v>169</v>
      </c>
    </row>
    <row r="17" spans="2:12" ht="84.75" customHeight="1" x14ac:dyDescent="0.25">
      <c r="B17" s="56">
        <v>14</v>
      </c>
      <c r="C17" s="57">
        <f>StartDate+(14-1)*7</f>
        <v>46328</v>
      </c>
      <c r="D17" s="58" t="s">
        <v>170</v>
      </c>
      <c r="E17" s="14" t="s">
        <v>117</v>
      </c>
      <c r="F17" s="40" t="s">
        <v>118</v>
      </c>
      <c r="G17" s="41" t="s">
        <v>171</v>
      </c>
      <c r="H17" s="14" t="s">
        <v>117</v>
      </c>
      <c r="I17" s="40" t="s">
        <v>172</v>
      </c>
      <c r="J17" s="42" t="s">
        <v>173</v>
      </c>
      <c r="K17" s="14" t="s">
        <v>121</v>
      </c>
      <c r="L17" s="59" t="s">
        <v>174</v>
      </c>
    </row>
    <row r="18" spans="2:12" ht="84.75" customHeight="1" x14ac:dyDescent="0.25">
      <c r="B18" s="60">
        <v>15</v>
      </c>
      <c r="C18" s="61">
        <f>StartDate+(15-1)*7</f>
        <v>46335</v>
      </c>
      <c r="D18" s="15" t="s">
        <v>175</v>
      </c>
      <c r="E18" s="14" t="s">
        <v>121</v>
      </c>
      <c r="F18" s="62" t="s">
        <v>176</v>
      </c>
      <c r="G18" s="63" t="s">
        <v>177</v>
      </c>
      <c r="H18" s="14" t="s">
        <v>121</v>
      </c>
      <c r="I18" s="64" t="s">
        <v>178</v>
      </c>
      <c r="J18" s="15" t="s">
        <v>179</v>
      </c>
      <c r="K18" s="14" t="s">
        <v>121</v>
      </c>
      <c r="L18" s="65" t="s">
        <v>180</v>
      </c>
    </row>
    <row r="19" spans="2:12" ht="84.75" customHeight="1" x14ac:dyDescent="0.25">
      <c r="B19" s="66">
        <v>16</v>
      </c>
      <c r="C19" s="67">
        <f>StartDate+(16-1)*7</f>
        <v>46342</v>
      </c>
      <c r="D19" s="63" t="s">
        <v>24</v>
      </c>
      <c r="E19" s="14" t="s">
        <v>181</v>
      </c>
      <c r="F19" s="40" t="s">
        <v>182</v>
      </c>
      <c r="G19" s="63" t="s">
        <v>183</v>
      </c>
      <c r="H19" s="14" t="s">
        <v>121</v>
      </c>
      <c r="I19" s="40" t="s">
        <v>184</v>
      </c>
      <c r="J19" s="63" t="s">
        <v>185</v>
      </c>
      <c r="K19" s="14" t="s">
        <v>121</v>
      </c>
      <c r="L19" s="68" t="s">
        <v>186</v>
      </c>
    </row>
  </sheetData>
  <mergeCells count="1">
    <mergeCell ref="B2:L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83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4" customWidth="1"/>
    <col min="3" max="3" width="90" customWidth="1"/>
    <col min="4" max="5" width="2" customWidth="1"/>
  </cols>
  <sheetData>
    <row r="2" spans="2:5" ht="26.25" x14ac:dyDescent="0.4">
      <c r="B2" s="121" t="s">
        <v>38</v>
      </c>
      <c r="C2" s="121"/>
      <c r="D2" s="121"/>
      <c r="E2" s="121"/>
    </row>
    <row r="3" spans="2:5" x14ac:dyDescent="0.25">
      <c r="B3" s="3" t="s">
        <v>187</v>
      </c>
      <c r="C3" s="3"/>
      <c r="D3" s="3"/>
      <c r="E3" s="3"/>
    </row>
    <row r="5" spans="2:5" ht="27.75" customHeight="1" x14ac:dyDescent="0.25">
      <c r="B5" s="122" t="s">
        <v>188</v>
      </c>
      <c r="C5" s="122"/>
    </row>
    <row r="6" spans="2:5" ht="33.75" customHeight="1" x14ac:dyDescent="0.25">
      <c r="B6" s="69" t="s">
        <v>189</v>
      </c>
      <c r="C6" s="70" t="s">
        <v>190</v>
      </c>
    </row>
    <row r="7" spans="2:5" ht="33.75" customHeight="1" x14ac:dyDescent="0.25">
      <c r="B7" s="69" t="s">
        <v>191</v>
      </c>
      <c r="C7" s="70" t="s">
        <v>192</v>
      </c>
    </row>
    <row r="8" spans="2:5" ht="33.75" customHeight="1" x14ac:dyDescent="0.25">
      <c r="B8" s="69" t="s">
        <v>193</v>
      </c>
      <c r="C8" s="70" t="s">
        <v>194</v>
      </c>
    </row>
    <row r="9" spans="2:5" ht="33.75" customHeight="1" x14ac:dyDescent="0.25">
      <c r="B9" s="69" t="s">
        <v>195</v>
      </c>
      <c r="C9" s="70" t="s">
        <v>196</v>
      </c>
    </row>
    <row r="10" spans="2:5" ht="33.75" customHeight="1" x14ac:dyDescent="0.25">
      <c r="B10" s="69" t="s">
        <v>197</v>
      </c>
      <c r="C10" s="70" t="s">
        <v>198</v>
      </c>
    </row>
    <row r="11" spans="2:5" ht="33.75" customHeight="1" x14ac:dyDescent="0.25">
      <c r="B11" s="69" t="s">
        <v>199</v>
      </c>
      <c r="C11" s="70" t="s">
        <v>200</v>
      </c>
    </row>
    <row r="12" spans="2:5" ht="33.75" customHeight="1" x14ac:dyDescent="0.25">
      <c r="B12" s="69" t="s">
        <v>201</v>
      </c>
      <c r="C12" s="70" t="s">
        <v>202</v>
      </c>
    </row>
    <row r="13" spans="2:5" ht="33.75" customHeight="1" x14ac:dyDescent="0.25">
      <c r="B13" s="69" t="s">
        <v>203</v>
      </c>
      <c r="C13" s="70" t="s">
        <v>204</v>
      </c>
    </row>
    <row r="15" spans="2:5" ht="27.75" customHeight="1" x14ac:dyDescent="0.25">
      <c r="B15" s="123" t="s">
        <v>205</v>
      </c>
      <c r="C15" s="123"/>
    </row>
    <row r="16" spans="2:5" ht="33.75" customHeight="1" x14ac:dyDescent="0.25">
      <c r="B16" s="71" t="s">
        <v>189</v>
      </c>
      <c r="C16" s="70" t="s">
        <v>206</v>
      </c>
    </row>
    <row r="17" spans="2:3" ht="33.75" customHeight="1" x14ac:dyDescent="0.25">
      <c r="B17" s="71" t="s">
        <v>191</v>
      </c>
      <c r="C17" s="70" t="s">
        <v>207</v>
      </c>
    </row>
    <row r="18" spans="2:3" ht="33.75" customHeight="1" x14ac:dyDescent="0.25">
      <c r="B18" s="71" t="s">
        <v>193</v>
      </c>
      <c r="C18" s="70" t="s">
        <v>208</v>
      </c>
    </row>
    <row r="19" spans="2:3" ht="33.75" customHeight="1" x14ac:dyDescent="0.25">
      <c r="B19" s="71" t="s">
        <v>195</v>
      </c>
      <c r="C19" s="70" t="s">
        <v>209</v>
      </c>
    </row>
    <row r="20" spans="2:3" ht="33.75" customHeight="1" x14ac:dyDescent="0.25">
      <c r="B20" s="71" t="s">
        <v>197</v>
      </c>
      <c r="C20" s="70" t="s">
        <v>210</v>
      </c>
    </row>
    <row r="21" spans="2:3" ht="33.75" customHeight="1" x14ac:dyDescent="0.25">
      <c r="B21" s="71" t="s">
        <v>199</v>
      </c>
      <c r="C21" s="70" t="s">
        <v>211</v>
      </c>
    </row>
    <row r="22" spans="2:3" ht="33.75" customHeight="1" x14ac:dyDescent="0.25">
      <c r="B22" s="71" t="s">
        <v>201</v>
      </c>
      <c r="C22" s="70" t="s">
        <v>212</v>
      </c>
    </row>
    <row r="23" spans="2:3" ht="33.75" customHeight="1" x14ac:dyDescent="0.25">
      <c r="B23" s="71" t="s">
        <v>203</v>
      </c>
      <c r="C23" s="70" t="s">
        <v>213</v>
      </c>
    </row>
    <row r="25" spans="2:3" ht="27.75" customHeight="1" x14ac:dyDescent="0.25">
      <c r="B25" s="124" t="s">
        <v>214</v>
      </c>
      <c r="C25" s="124"/>
    </row>
    <row r="26" spans="2:3" ht="33.75" customHeight="1" x14ac:dyDescent="0.25">
      <c r="B26" s="72" t="s">
        <v>189</v>
      </c>
      <c r="C26" s="70" t="s">
        <v>215</v>
      </c>
    </row>
    <row r="27" spans="2:3" ht="33.75" customHeight="1" x14ac:dyDescent="0.25">
      <c r="B27" s="72" t="s">
        <v>191</v>
      </c>
      <c r="C27" s="70" t="s">
        <v>216</v>
      </c>
    </row>
    <row r="28" spans="2:3" ht="33.75" customHeight="1" x14ac:dyDescent="0.25">
      <c r="B28" s="72" t="s">
        <v>193</v>
      </c>
      <c r="C28" s="70" t="s">
        <v>217</v>
      </c>
    </row>
    <row r="29" spans="2:3" ht="33.75" customHeight="1" x14ac:dyDescent="0.25">
      <c r="B29" s="72" t="s">
        <v>195</v>
      </c>
      <c r="C29" s="70" t="s">
        <v>218</v>
      </c>
    </row>
    <row r="30" spans="2:3" ht="33.75" customHeight="1" x14ac:dyDescent="0.25">
      <c r="B30" s="72" t="s">
        <v>197</v>
      </c>
      <c r="C30" s="70" t="s">
        <v>219</v>
      </c>
    </row>
    <row r="31" spans="2:3" ht="33.75" customHeight="1" x14ac:dyDescent="0.25">
      <c r="B31" s="72" t="s">
        <v>199</v>
      </c>
      <c r="C31" s="70" t="s">
        <v>220</v>
      </c>
    </row>
    <row r="32" spans="2:3" ht="33.75" customHeight="1" x14ac:dyDescent="0.25">
      <c r="B32" s="72" t="s">
        <v>201</v>
      </c>
      <c r="C32" s="70" t="s">
        <v>221</v>
      </c>
    </row>
    <row r="33" spans="2:3" ht="33.75" customHeight="1" x14ac:dyDescent="0.25">
      <c r="B33" s="72" t="s">
        <v>203</v>
      </c>
      <c r="C33" s="70" t="s">
        <v>222</v>
      </c>
    </row>
    <row r="35" spans="2:3" ht="27.75" customHeight="1" x14ac:dyDescent="0.25">
      <c r="B35" s="125" t="s">
        <v>223</v>
      </c>
      <c r="C35" s="125"/>
    </row>
    <row r="36" spans="2:3" ht="33.75" customHeight="1" x14ac:dyDescent="0.25">
      <c r="B36" s="73" t="s">
        <v>189</v>
      </c>
      <c r="C36" s="70" t="s">
        <v>224</v>
      </c>
    </row>
    <row r="37" spans="2:3" ht="33.75" customHeight="1" x14ac:dyDescent="0.25">
      <c r="B37" s="73" t="s">
        <v>191</v>
      </c>
      <c r="C37" s="70" t="s">
        <v>225</v>
      </c>
    </row>
    <row r="38" spans="2:3" ht="33.75" customHeight="1" x14ac:dyDescent="0.25">
      <c r="B38" s="73" t="s">
        <v>193</v>
      </c>
      <c r="C38" s="70" t="s">
        <v>226</v>
      </c>
    </row>
    <row r="39" spans="2:3" ht="33.75" customHeight="1" x14ac:dyDescent="0.25">
      <c r="B39" s="73" t="s">
        <v>195</v>
      </c>
      <c r="C39" s="70" t="s">
        <v>227</v>
      </c>
    </row>
    <row r="40" spans="2:3" ht="33.75" customHeight="1" x14ac:dyDescent="0.25">
      <c r="B40" s="73" t="s">
        <v>197</v>
      </c>
      <c r="C40" s="70" t="s">
        <v>228</v>
      </c>
    </row>
    <row r="41" spans="2:3" ht="33.75" customHeight="1" x14ac:dyDescent="0.25">
      <c r="B41" s="73" t="s">
        <v>199</v>
      </c>
      <c r="C41" s="70" t="s">
        <v>229</v>
      </c>
    </row>
    <row r="42" spans="2:3" ht="33.75" customHeight="1" x14ac:dyDescent="0.25">
      <c r="B42" s="73" t="s">
        <v>201</v>
      </c>
      <c r="C42" s="70" t="s">
        <v>230</v>
      </c>
    </row>
    <row r="43" spans="2:3" ht="33.75" customHeight="1" x14ac:dyDescent="0.25">
      <c r="B43" s="73" t="s">
        <v>203</v>
      </c>
      <c r="C43" s="70" t="s">
        <v>231</v>
      </c>
    </row>
    <row r="45" spans="2:3" ht="27.75" customHeight="1" x14ac:dyDescent="0.25">
      <c r="B45" s="125" t="s">
        <v>232</v>
      </c>
      <c r="C45" s="125"/>
    </row>
    <row r="46" spans="2:3" ht="33.75" customHeight="1" x14ac:dyDescent="0.25">
      <c r="B46" s="73" t="s">
        <v>189</v>
      </c>
      <c r="C46" s="70" t="s">
        <v>233</v>
      </c>
    </row>
    <row r="47" spans="2:3" ht="33.75" customHeight="1" x14ac:dyDescent="0.25">
      <c r="B47" s="73" t="s">
        <v>191</v>
      </c>
      <c r="C47" s="70" t="s">
        <v>234</v>
      </c>
    </row>
    <row r="48" spans="2:3" ht="33.75" customHeight="1" x14ac:dyDescent="0.25">
      <c r="B48" s="73" t="s">
        <v>193</v>
      </c>
      <c r="C48" s="70" t="s">
        <v>235</v>
      </c>
    </row>
    <row r="49" spans="2:3" ht="33.75" customHeight="1" x14ac:dyDescent="0.25">
      <c r="B49" s="73" t="s">
        <v>195</v>
      </c>
      <c r="C49" s="70" t="s">
        <v>236</v>
      </c>
    </row>
    <row r="50" spans="2:3" ht="33.75" customHeight="1" x14ac:dyDescent="0.25">
      <c r="B50" s="73" t="s">
        <v>197</v>
      </c>
      <c r="C50" s="70" t="s">
        <v>228</v>
      </c>
    </row>
    <row r="51" spans="2:3" ht="33.75" customHeight="1" x14ac:dyDescent="0.25">
      <c r="B51" s="73" t="s">
        <v>199</v>
      </c>
      <c r="C51" s="70" t="s">
        <v>237</v>
      </c>
    </row>
    <row r="52" spans="2:3" ht="33.75" customHeight="1" x14ac:dyDescent="0.25">
      <c r="B52" s="73" t="s">
        <v>201</v>
      </c>
      <c r="C52" s="70" t="s">
        <v>238</v>
      </c>
    </row>
    <row r="53" spans="2:3" ht="33.75" customHeight="1" x14ac:dyDescent="0.25">
      <c r="B53" s="73" t="s">
        <v>203</v>
      </c>
      <c r="C53" s="70" t="s">
        <v>239</v>
      </c>
    </row>
    <row r="55" spans="2:3" ht="27.75" customHeight="1" x14ac:dyDescent="0.25">
      <c r="B55" s="125" t="s">
        <v>240</v>
      </c>
      <c r="C55" s="125"/>
    </row>
    <row r="56" spans="2:3" ht="33.75" customHeight="1" x14ac:dyDescent="0.25">
      <c r="B56" s="73" t="s">
        <v>189</v>
      </c>
      <c r="C56" s="70" t="s">
        <v>241</v>
      </c>
    </row>
    <row r="57" spans="2:3" ht="33.75" customHeight="1" x14ac:dyDescent="0.25">
      <c r="B57" s="73" t="s">
        <v>191</v>
      </c>
      <c r="C57" s="70" t="s">
        <v>242</v>
      </c>
    </row>
    <row r="58" spans="2:3" ht="33.75" customHeight="1" x14ac:dyDescent="0.25">
      <c r="B58" s="73" t="s">
        <v>193</v>
      </c>
      <c r="C58" s="70" t="s">
        <v>235</v>
      </c>
    </row>
    <row r="59" spans="2:3" ht="33.75" customHeight="1" x14ac:dyDescent="0.25">
      <c r="B59" s="73" t="s">
        <v>195</v>
      </c>
      <c r="C59" s="70" t="s">
        <v>243</v>
      </c>
    </row>
    <row r="60" spans="2:3" ht="33.75" customHeight="1" x14ac:dyDescent="0.25">
      <c r="B60" s="73" t="s">
        <v>197</v>
      </c>
      <c r="C60" s="70" t="s">
        <v>228</v>
      </c>
    </row>
    <row r="61" spans="2:3" ht="33.75" customHeight="1" x14ac:dyDescent="0.25">
      <c r="B61" s="73" t="s">
        <v>199</v>
      </c>
      <c r="C61" s="70" t="s">
        <v>244</v>
      </c>
    </row>
    <row r="62" spans="2:3" ht="33.75" customHeight="1" x14ac:dyDescent="0.25">
      <c r="B62" s="73" t="s">
        <v>201</v>
      </c>
      <c r="C62" s="70" t="s">
        <v>245</v>
      </c>
    </row>
    <row r="63" spans="2:3" ht="33.75" customHeight="1" x14ac:dyDescent="0.25">
      <c r="B63" s="73" t="s">
        <v>203</v>
      </c>
      <c r="C63" s="70" t="s">
        <v>246</v>
      </c>
    </row>
    <row r="65" spans="2:3" ht="27.75" customHeight="1" x14ac:dyDescent="0.25">
      <c r="B65" s="126" t="s">
        <v>247</v>
      </c>
      <c r="C65" s="126"/>
    </row>
    <row r="66" spans="2:3" ht="33.75" customHeight="1" x14ac:dyDescent="0.25">
      <c r="B66" s="74" t="s">
        <v>189</v>
      </c>
      <c r="C66" s="70" t="s">
        <v>248</v>
      </c>
    </row>
    <row r="67" spans="2:3" ht="33.75" customHeight="1" x14ac:dyDescent="0.25">
      <c r="B67" s="74" t="s">
        <v>191</v>
      </c>
      <c r="C67" s="70" t="s">
        <v>249</v>
      </c>
    </row>
    <row r="68" spans="2:3" ht="33.75" customHeight="1" x14ac:dyDescent="0.25">
      <c r="B68" s="74" t="s">
        <v>193</v>
      </c>
      <c r="C68" s="70" t="s">
        <v>250</v>
      </c>
    </row>
    <row r="69" spans="2:3" ht="33.75" customHeight="1" x14ac:dyDescent="0.25">
      <c r="B69" s="74" t="s">
        <v>195</v>
      </c>
      <c r="C69" s="70" t="s">
        <v>251</v>
      </c>
    </row>
    <row r="70" spans="2:3" ht="33.75" customHeight="1" x14ac:dyDescent="0.25">
      <c r="B70" s="74" t="s">
        <v>197</v>
      </c>
      <c r="C70" s="70" t="s">
        <v>252</v>
      </c>
    </row>
    <row r="71" spans="2:3" ht="33.75" customHeight="1" x14ac:dyDescent="0.25">
      <c r="B71" s="74" t="s">
        <v>199</v>
      </c>
      <c r="C71" s="70" t="s">
        <v>253</v>
      </c>
    </row>
    <row r="72" spans="2:3" ht="33.75" customHeight="1" x14ac:dyDescent="0.25">
      <c r="B72" s="74" t="s">
        <v>201</v>
      </c>
      <c r="C72" s="70" t="s">
        <v>254</v>
      </c>
    </row>
    <row r="73" spans="2:3" ht="33.75" customHeight="1" x14ac:dyDescent="0.25">
      <c r="B73" s="74" t="s">
        <v>203</v>
      </c>
      <c r="C73" s="70" t="s">
        <v>255</v>
      </c>
    </row>
    <row r="75" spans="2:3" ht="27.75" customHeight="1" x14ac:dyDescent="0.25">
      <c r="B75" s="126" t="s">
        <v>256</v>
      </c>
      <c r="C75" s="126"/>
    </row>
    <row r="76" spans="2:3" ht="33.75" customHeight="1" x14ac:dyDescent="0.25">
      <c r="B76" s="74" t="s">
        <v>189</v>
      </c>
      <c r="C76" s="70" t="s">
        <v>257</v>
      </c>
    </row>
    <row r="77" spans="2:3" ht="33.75" customHeight="1" x14ac:dyDescent="0.25">
      <c r="B77" s="74" t="s">
        <v>191</v>
      </c>
      <c r="C77" s="70" t="s">
        <v>258</v>
      </c>
    </row>
    <row r="78" spans="2:3" ht="33.75" customHeight="1" x14ac:dyDescent="0.25">
      <c r="B78" s="74" t="s">
        <v>193</v>
      </c>
      <c r="C78" s="70" t="s">
        <v>259</v>
      </c>
    </row>
    <row r="79" spans="2:3" ht="33.75" customHeight="1" x14ac:dyDescent="0.25">
      <c r="B79" s="74" t="s">
        <v>195</v>
      </c>
      <c r="C79" s="70" t="s">
        <v>260</v>
      </c>
    </row>
    <row r="80" spans="2:3" ht="33.75" customHeight="1" x14ac:dyDescent="0.25">
      <c r="B80" s="74" t="s">
        <v>197</v>
      </c>
      <c r="C80" s="70" t="s">
        <v>259</v>
      </c>
    </row>
    <row r="81" spans="2:3" ht="33.75" customHeight="1" x14ac:dyDescent="0.25">
      <c r="B81" s="74" t="s">
        <v>199</v>
      </c>
      <c r="C81" s="70" t="s">
        <v>261</v>
      </c>
    </row>
    <row r="82" spans="2:3" ht="33.75" customHeight="1" x14ac:dyDescent="0.25">
      <c r="B82" s="74" t="s">
        <v>201</v>
      </c>
      <c r="C82" s="70" t="s">
        <v>262</v>
      </c>
    </row>
    <row r="83" spans="2:3" ht="33.75" customHeight="1" x14ac:dyDescent="0.25">
      <c r="B83" s="74" t="s">
        <v>203</v>
      </c>
      <c r="C83" s="70" t="s">
        <v>263</v>
      </c>
    </row>
  </sheetData>
  <mergeCells count="10">
    <mergeCell ref="B35:C35"/>
    <mergeCell ref="B45:C45"/>
    <mergeCell ref="B55:C55"/>
    <mergeCell ref="B65:C65"/>
    <mergeCell ref="B75:C75"/>
    <mergeCell ref="B2:E2"/>
    <mergeCell ref="B3:E3"/>
    <mergeCell ref="B5:C5"/>
    <mergeCell ref="B15:C15"/>
    <mergeCell ref="B25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35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8" customWidth="1"/>
    <col min="3" max="3" width="45" customWidth="1"/>
    <col min="4" max="4" width="18" customWidth="1"/>
    <col min="5" max="5" width="22" customWidth="1"/>
  </cols>
  <sheetData>
    <row r="2" spans="2:6" ht="26.25" x14ac:dyDescent="0.4">
      <c r="B2" s="121" t="s">
        <v>39</v>
      </c>
      <c r="C2" s="121"/>
      <c r="D2" s="121"/>
      <c r="E2" s="121"/>
      <c r="F2" s="121"/>
    </row>
    <row r="3" spans="2:6" x14ac:dyDescent="0.25">
      <c r="B3" s="3" t="s">
        <v>264</v>
      </c>
      <c r="C3" s="3"/>
      <c r="D3" s="3"/>
      <c r="E3" s="3"/>
      <c r="F3" s="3"/>
    </row>
    <row r="5" spans="2:6" ht="15" customHeight="1" x14ac:dyDescent="0.25">
      <c r="B5" s="10" t="s">
        <v>265</v>
      </c>
      <c r="C5" s="10"/>
      <c r="D5" s="10"/>
      <c r="E5" s="10"/>
    </row>
    <row r="6" spans="2:6" x14ac:dyDescent="0.25">
      <c r="B6" s="18" t="s">
        <v>266</v>
      </c>
      <c r="C6" s="18" t="s">
        <v>189</v>
      </c>
      <c r="D6" s="18" t="s">
        <v>267</v>
      </c>
      <c r="E6" s="18" t="s">
        <v>268</v>
      </c>
    </row>
    <row r="7" spans="2:6" ht="15.75" x14ac:dyDescent="0.25">
      <c r="B7" s="75" t="s">
        <v>269</v>
      </c>
      <c r="C7" s="62" t="s">
        <v>270</v>
      </c>
      <c r="D7" s="76">
        <v>-30</v>
      </c>
      <c r="E7" s="77" t="str">
        <f>TEXT(INT((((T_min*60+T_sec)+-30))/60),"0")&amp;":"&amp;TEXT(MOD(((T_min*60+T_sec)+-30),60),"00")</f>
        <v>7:30</v>
      </c>
    </row>
    <row r="8" spans="2:6" ht="15.75" x14ac:dyDescent="0.25">
      <c r="B8" s="75" t="s">
        <v>271</v>
      </c>
      <c r="C8" s="62" t="s">
        <v>272</v>
      </c>
      <c r="D8" s="76">
        <v>-25</v>
      </c>
      <c r="E8" s="77" t="str">
        <f>TEXT(INT((((T_min*60+T_sec)+-25))/60),"0")&amp;":"&amp;TEXT(MOD(((T_min*60+T_sec)+-25),60),"00")</f>
        <v>7:35</v>
      </c>
    </row>
    <row r="9" spans="2:6" ht="15.75" x14ac:dyDescent="0.25">
      <c r="B9" s="75" t="s">
        <v>273</v>
      </c>
      <c r="C9" s="62" t="s">
        <v>274</v>
      </c>
      <c r="D9" s="76">
        <v>-20</v>
      </c>
      <c r="E9" s="77" t="str">
        <f>TEXT(INT((((T_min*60+T_sec)+-20))/60),"0")&amp;":"&amp;TEXT(MOD(((T_min*60+T_sec)+-20),60),"00")</f>
        <v>7:40</v>
      </c>
    </row>
    <row r="10" spans="2:6" ht="15.75" x14ac:dyDescent="0.25">
      <c r="B10" s="75" t="s">
        <v>275</v>
      </c>
      <c r="C10" s="62" t="s">
        <v>276</v>
      </c>
      <c r="D10" s="76">
        <v>-15</v>
      </c>
      <c r="E10" s="77" t="str">
        <f>TEXT(INT((((T_min*60+T_sec)+-15))/60),"0")&amp;":"&amp;TEXT(MOD(((T_min*60+T_sec)+-15),60),"00")</f>
        <v>7:45</v>
      </c>
    </row>
    <row r="11" spans="2:6" ht="15.75" x14ac:dyDescent="0.25">
      <c r="B11" s="75" t="s">
        <v>277</v>
      </c>
      <c r="C11" s="62" t="s">
        <v>278</v>
      </c>
      <c r="D11" s="76">
        <v>-10</v>
      </c>
      <c r="E11" s="77" t="str">
        <f>TEXT(INT((((T_min*60+T_sec)+-10))/60),"0")&amp;":"&amp;TEXT(MOD(((T_min*60+T_sec)+-10),60),"00")</f>
        <v>7:50</v>
      </c>
    </row>
    <row r="12" spans="2:6" ht="15.75" x14ac:dyDescent="0.25">
      <c r="B12" s="75" t="s">
        <v>279</v>
      </c>
      <c r="C12" s="62" t="s">
        <v>280</v>
      </c>
      <c r="D12" s="76">
        <v>-5</v>
      </c>
      <c r="E12" s="77" t="str">
        <f>TEXT(INT((((T_min*60+T_sec)+-5))/60),"0")&amp;":"&amp;TEXT(MOD(((T_min*60+T_sec)+-5),60),"00")</f>
        <v>7:55</v>
      </c>
    </row>
    <row r="13" spans="2:6" ht="15.75" x14ac:dyDescent="0.25">
      <c r="B13" s="60" t="s">
        <v>281</v>
      </c>
      <c r="C13" s="78" t="s">
        <v>282</v>
      </c>
      <c r="D13" s="79">
        <v>0</v>
      </c>
      <c r="E13" s="80" t="str">
        <f>TEXT(INT((((T_min*60+T_sec)+0))/60),"0")&amp;":"&amp;TEXT(MOD(((T_min*60+T_sec)+0),60),"00")</f>
        <v>8:00</v>
      </c>
    </row>
    <row r="14" spans="2:6" ht="15.75" x14ac:dyDescent="0.25">
      <c r="B14" s="81" t="s">
        <v>283</v>
      </c>
      <c r="C14" s="82" t="s">
        <v>284</v>
      </c>
      <c r="D14" s="83">
        <v>5</v>
      </c>
      <c r="E14" s="84" t="str">
        <f>TEXT(INT((((T_min*60+T_sec)+5))/60),"0")&amp;":"&amp;TEXT(MOD(((T_min*60+T_sec)+5),60),"00")</f>
        <v>8:05</v>
      </c>
    </row>
    <row r="15" spans="2:6" ht="15.75" x14ac:dyDescent="0.25">
      <c r="B15" s="81" t="s">
        <v>285</v>
      </c>
      <c r="C15" s="82" t="s">
        <v>286</v>
      </c>
      <c r="D15" s="83">
        <v>10</v>
      </c>
      <c r="E15" s="84" t="str">
        <f>TEXT(INT((((T_min*60+T_sec)+10))/60),"0")&amp;":"&amp;TEXT(MOD(((T_min*60+T_sec)+10),60),"00")</f>
        <v>8:10</v>
      </c>
    </row>
    <row r="16" spans="2:6" ht="15.75" x14ac:dyDescent="0.25">
      <c r="B16" s="81" t="s">
        <v>287</v>
      </c>
      <c r="C16" s="82" t="s">
        <v>288</v>
      </c>
      <c r="D16" s="83">
        <v>15</v>
      </c>
      <c r="E16" s="84" t="str">
        <f>TEXT(INT((((T_min*60+T_sec)+15))/60),"0")&amp;":"&amp;TEXT(MOD(((T_min*60+T_sec)+15),60),"00")</f>
        <v>8:15</v>
      </c>
    </row>
    <row r="17" spans="2:5" ht="15.75" x14ac:dyDescent="0.25">
      <c r="B17" s="81" t="s">
        <v>289</v>
      </c>
      <c r="C17" s="82" t="s">
        <v>290</v>
      </c>
      <c r="D17" s="83">
        <v>20</v>
      </c>
      <c r="E17" s="84" t="str">
        <f>TEXT(INT((((T_min*60+T_sec)+20))/60),"0")&amp;":"&amp;TEXT(MOD(((T_min*60+T_sec)+20),60),"00")</f>
        <v>8:20</v>
      </c>
    </row>
    <row r="18" spans="2:5" ht="15.75" x14ac:dyDescent="0.25">
      <c r="B18" s="81" t="s">
        <v>291</v>
      </c>
      <c r="C18" s="82" t="s">
        <v>292</v>
      </c>
      <c r="D18" s="83">
        <v>40</v>
      </c>
      <c r="E18" s="84" t="str">
        <f>TEXT(INT((((T_min*60+T_sec)+40))/60),"0")&amp;":"&amp;TEXT(MOD(((T_min*60+T_sec)+40),60),"00")</f>
        <v>8:40</v>
      </c>
    </row>
    <row r="19" spans="2:5" ht="15.75" x14ac:dyDescent="0.25">
      <c r="B19" s="66" t="s">
        <v>293</v>
      </c>
      <c r="C19" s="40" t="s">
        <v>294</v>
      </c>
      <c r="D19" s="85">
        <v>60</v>
      </c>
      <c r="E19" s="86" t="str">
        <f>TEXT(INT((((T_min*60+T_sec)+60))/60),"0")&amp;":"&amp;TEXT(MOD(((T_min*60+T_sec)+60),60),"00")</f>
        <v>9:00</v>
      </c>
    </row>
    <row r="20" spans="2:5" ht="15.75" x14ac:dyDescent="0.25">
      <c r="B20" s="32" t="s">
        <v>295</v>
      </c>
      <c r="C20" s="14" t="s">
        <v>296</v>
      </c>
      <c r="D20" s="87">
        <v>90</v>
      </c>
      <c r="E20" s="88" t="str">
        <f>TEXT(INT((((T_min*60+T_sec)+90))/60),"0")&amp;":"&amp;TEXT(MOD(((T_min*60+T_sec)+90),60),"00")</f>
        <v>9:30</v>
      </c>
    </row>
    <row r="23" spans="2:5" ht="15" customHeight="1" x14ac:dyDescent="0.25">
      <c r="B23" s="10" t="s">
        <v>297</v>
      </c>
      <c r="C23" s="10"/>
      <c r="D23" s="10"/>
      <c r="E23" s="10"/>
    </row>
    <row r="24" spans="2:5" ht="21.75" customHeight="1" x14ac:dyDescent="0.25">
      <c r="B24" s="127" t="s">
        <v>298</v>
      </c>
      <c r="C24" s="127"/>
      <c r="D24" s="127"/>
      <c r="E24" s="127"/>
    </row>
    <row r="25" spans="2:5" x14ac:dyDescent="0.25">
      <c r="B25" s="18" t="s">
        <v>87</v>
      </c>
      <c r="C25" s="18" t="s">
        <v>299</v>
      </c>
      <c r="D25" s="18" t="s">
        <v>88</v>
      </c>
      <c r="E25" s="18" t="s">
        <v>89</v>
      </c>
    </row>
    <row r="26" spans="2:5" ht="15.75" x14ac:dyDescent="0.25">
      <c r="B26" s="33" t="s">
        <v>91</v>
      </c>
      <c r="C26" s="89">
        <v>3.1068600000000002</v>
      </c>
      <c r="D26" s="34" t="str">
        <f>TEXT(INT((((T_min*60+T_sec)+-25))/60),"0")&amp;":"&amp;TEXT(MOD(((T_min*60+T_sec)+-25),60),"00")&amp;"/mi"</f>
        <v>7:35/mi</v>
      </c>
      <c r="E26" s="90" t="str">
        <f>IF((3.10686*((T_min*60+T_sec)+-25))&gt;=3600,INT((3.10686*((T_min*60+T_sec)+-25))/3600)&amp;":"&amp;TEXT(INT(MOD((3.10686*((T_min*60+T_sec)+-25)),3600)/60),"00")&amp;":"&amp;TEXT(MOD((3.10686*((T_min*60+T_sec)+-25)),60),"00"),INT((3.10686*((T_min*60+T_sec)+-25))/60)&amp;":"&amp;TEXT(MOD((3.10686*((T_min*60+T_sec)+-25)),60),"00"))</f>
        <v>23:34</v>
      </c>
    </row>
    <row r="27" spans="2:5" ht="15.75" x14ac:dyDescent="0.25">
      <c r="B27" s="33" t="s">
        <v>93</v>
      </c>
      <c r="C27" s="89">
        <v>6.2137099999999998</v>
      </c>
      <c r="D27" s="34" t="str">
        <f>TEXT(INT((((T_min*60+T_sec)+-12))/60),"0")&amp;":"&amp;TEXT(MOD(((T_min*60+T_sec)+-12),60),"00")&amp;"/mi"</f>
        <v>7:48/mi</v>
      </c>
      <c r="E27" s="90" t="str">
        <f>IF((6.21371*((T_min*60+T_sec)+-12))&gt;=3600,INT((6.21371*((T_min*60+T_sec)+-12))/3600)&amp;":"&amp;TEXT(INT(MOD((6.21371*((T_min*60+T_sec)+-12)),3600)/60),"00")&amp;":"&amp;TEXT(MOD((6.21371*((T_min*60+T_sec)+-12)),60),"00"),INT((6.21371*((T_min*60+T_sec)+-12))/60)&amp;":"&amp;TEXT(MOD((6.21371*((T_min*60+T_sec)+-12)),60),"00"))</f>
        <v>48:28</v>
      </c>
    </row>
    <row r="28" spans="2:5" ht="15.75" x14ac:dyDescent="0.25">
      <c r="B28" s="33" t="s">
        <v>95</v>
      </c>
      <c r="C28" s="89">
        <v>13.10938</v>
      </c>
      <c r="D28" s="34" t="str">
        <f>TEXT(INT((((T_min*60+T_sec)+7))/60),"0")&amp;":"&amp;TEXT(MOD(((T_min*60+T_sec)+7),60),"00")&amp;"/mi"</f>
        <v>8:07/mi</v>
      </c>
      <c r="E28" s="90" t="str">
        <f>IF((13.10938*((T_min*60+T_sec)+7))&gt;=3600,INT((13.10938*((T_min*60+T_sec)+7))/3600)&amp;":"&amp;TEXT(INT(MOD((13.10938*((T_min*60+T_sec)+7)),3600)/60),"00")&amp;":"&amp;TEXT(MOD((13.10938*((T_min*60+T_sec)+7)),60),"00"),INT((13.10938*((T_min*60+T_sec)+7))/60)&amp;":"&amp;TEXT(MOD((13.10938*((T_min*60+T_sec)+7)),60),"00"))</f>
        <v>1:46:24</v>
      </c>
    </row>
    <row r="29" spans="2:5" ht="15.75" x14ac:dyDescent="0.25">
      <c r="B29" s="33" t="s">
        <v>97</v>
      </c>
      <c r="C29" s="89">
        <v>26.21876</v>
      </c>
      <c r="D29" s="34" t="str">
        <f>TEXT(INT((((T_min*60+T_sec)+27))/60),"0")&amp;":"&amp;TEXT(MOD(((T_min*60+T_sec)+27),60),"00")&amp;"/mi"</f>
        <v>8:27/mi</v>
      </c>
      <c r="E29" s="90" t="str">
        <f>IF((26.21876*((T_min*60+T_sec)+27))&gt;=3600,INT((26.21876*((T_min*60+T_sec)+27))/3600)&amp;":"&amp;TEXT(INT(MOD((26.21876*((T_min*60+T_sec)+27)),3600)/60),"00")&amp;":"&amp;TEXT(MOD((26.21876*((T_min*60+T_sec)+27)),60),"00"),INT((26.21876*((T_min*60+T_sec)+27))/60)&amp;":"&amp;TEXT(MOD((26.21876*((T_min*60+T_sec)+27)),60),"00"))</f>
        <v>3:41:33</v>
      </c>
    </row>
    <row r="31" spans="2:5" ht="15" customHeight="1" x14ac:dyDescent="0.25">
      <c r="B31" s="10" t="s">
        <v>300</v>
      </c>
      <c r="C31" s="10"/>
      <c r="D31" s="10"/>
      <c r="E31" s="10"/>
    </row>
    <row r="32" spans="2:5" ht="21.75" customHeight="1" x14ac:dyDescent="0.25">
      <c r="B32" s="128" t="s">
        <v>301</v>
      </c>
      <c r="C32" s="128"/>
      <c r="D32" s="128"/>
      <c r="E32" s="128"/>
    </row>
    <row r="33" spans="2:5" ht="21.75" customHeight="1" x14ac:dyDescent="0.25">
      <c r="B33" s="128" t="s">
        <v>302</v>
      </c>
      <c r="C33" s="128"/>
      <c r="D33" s="128"/>
      <c r="E33" s="128"/>
    </row>
    <row r="34" spans="2:5" ht="21.75" customHeight="1" x14ac:dyDescent="0.25">
      <c r="B34" s="128" t="s">
        <v>303</v>
      </c>
      <c r="C34" s="128"/>
      <c r="D34" s="128"/>
      <c r="E34" s="128"/>
    </row>
    <row r="35" spans="2:5" ht="21.75" customHeight="1" x14ac:dyDescent="0.25">
      <c r="B35" s="128" t="s">
        <v>304</v>
      </c>
      <c r="C35" s="128"/>
      <c r="D35" s="128"/>
      <c r="E35" s="128"/>
    </row>
  </sheetData>
  <mergeCells count="10">
    <mergeCell ref="B31:E31"/>
    <mergeCell ref="B32:E32"/>
    <mergeCell ref="B33:E33"/>
    <mergeCell ref="B34:E34"/>
    <mergeCell ref="B35:E35"/>
    <mergeCell ref="B2:F2"/>
    <mergeCell ref="B3:F3"/>
    <mergeCell ref="B5:E5"/>
    <mergeCell ref="B23:E23"/>
    <mergeCell ref="B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7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42" customWidth="1"/>
    <col min="3" max="3" width="90" customWidth="1"/>
  </cols>
  <sheetData>
    <row r="2" spans="2:3" ht="26.25" x14ac:dyDescent="0.4">
      <c r="B2" s="121" t="s">
        <v>40</v>
      </c>
      <c r="C2" s="121"/>
    </row>
    <row r="3" spans="2:3" x14ac:dyDescent="0.25">
      <c r="B3" s="3" t="s">
        <v>305</v>
      </c>
      <c r="C3" s="3"/>
    </row>
    <row r="5" spans="2:3" x14ac:dyDescent="0.25">
      <c r="B5" s="18" t="s">
        <v>306</v>
      </c>
      <c r="C5" s="18" t="s">
        <v>307</v>
      </c>
    </row>
    <row r="6" spans="2:3" ht="54.75" customHeight="1" x14ac:dyDescent="0.25">
      <c r="B6" s="33" t="s">
        <v>308</v>
      </c>
      <c r="C6" s="91" t="s">
        <v>309</v>
      </c>
    </row>
    <row r="7" spans="2:3" ht="54.75" customHeight="1" x14ac:dyDescent="0.25">
      <c r="B7" s="33" t="s">
        <v>310</v>
      </c>
      <c r="C7" s="91" t="s">
        <v>311</v>
      </c>
    </row>
    <row r="8" spans="2:3" ht="54.75" customHeight="1" x14ac:dyDescent="0.25">
      <c r="B8" s="33" t="s">
        <v>312</v>
      </c>
      <c r="C8" s="91" t="s">
        <v>313</v>
      </c>
    </row>
    <row r="9" spans="2:3" ht="54.75" customHeight="1" x14ac:dyDescent="0.25">
      <c r="B9" s="33" t="s">
        <v>314</v>
      </c>
      <c r="C9" s="91" t="s">
        <v>315</v>
      </c>
    </row>
    <row r="10" spans="2:3" ht="54.75" customHeight="1" x14ac:dyDescent="0.25">
      <c r="B10" s="33" t="s">
        <v>316</v>
      </c>
      <c r="C10" s="91" t="s">
        <v>317</v>
      </c>
    </row>
    <row r="11" spans="2:3" ht="54.75" customHeight="1" x14ac:dyDescent="0.25">
      <c r="B11" s="33" t="s">
        <v>318</v>
      </c>
      <c r="C11" s="91" t="s">
        <v>319</v>
      </c>
    </row>
    <row r="12" spans="2:3" ht="54.75" customHeight="1" x14ac:dyDescent="0.25">
      <c r="B12" s="33" t="s">
        <v>320</v>
      </c>
      <c r="C12" s="91" t="s">
        <v>321</v>
      </c>
    </row>
    <row r="13" spans="2:3" ht="54.75" customHeight="1" x14ac:dyDescent="0.25">
      <c r="B13" s="33" t="s">
        <v>322</v>
      </c>
      <c r="C13" s="91" t="s">
        <v>323</v>
      </c>
    </row>
    <row r="14" spans="2:3" ht="54.75" customHeight="1" x14ac:dyDescent="0.25">
      <c r="B14" s="33" t="s">
        <v>324</v>
      </c>
      <c r="C14" s="91" t="s">
        <v>325</v>
      </c>
    </row>
    <row r="15" spans="2:3" ht="54.75" customHeight="1" x14ac:dyDescent="0.25">
      <c r="B15" s="33" t="s">
        <v>326</v>
      </c>
      <c r="C15" s="91" t="s">
        <v>327</v>
      </c>
    </row>
    <row r="16" spans="2:3" ht="54.75" customHeight="1" x14ac:dyDescent="0.25">
      <c r="B16" s="33" t="s">
        <v>328</v>
      </c>
      <c r="C16" s="91" t="s">
        <v>329</v>
      </c>
    </row>
    <row r="17" spans="2:3" ht="54.75" customHeight="1" x14ac:dyDescent="0.25">
      <c r="B17" s="33" t="s">
        <v>330</v>
      </c>
      <c r="C17" s="91" t="s">
        <v>331</v>
      </c>
    </row>
  </sheetData>
  <mergeCells count="2"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1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7109375" defaultRowHeight="15" x14ac:dyDescent="0.25"/>
  <cols>
    <col min="1" max="1" width="2" customWidth="1"/>
    <col min="2" max="2" width="12" customWidth="1"/>
    <col min="3" max="4" width="5" customWidth="1"/>
    <col min="5" max="5" width="22" customWidth="1"/>
    <col min="6" max="6" width="55" customWidth="1"/>
    <col min="7" max="9" width="14" customWidth="1"/>
    <col min="10" max="10" width="42" customWidth="1"/>
  </cols>
  <sheetData>
    <row r="2" spans="2:10" ht="26.25" x14ac:dyDescent="0.4">
      <c r="B2" s="121" t="s">
        <v>41</v>
      </c>
      <c r="C2" s="121"/>
      <c r="D2" s="121"/>
      <c r="E2" s="121"/>
      <c r="F2" s="121"/>
      <c r="G2" s="121"/>
      <c r="H2" s="121"/>
      <c r="I2" s="121"/>
      <c r="J2" s="121"/>
    </row>
    <row r="3" spans="2:10" x14ac:dyDescent="0.25">
      <c r="B3" s="3" t="s">
        <v>332</v>
      </c>
      <c r="C3" s="3"/>
      <c r="D3" s="3"/>
      <c r="E3" s="3"/>
      <c r="F3" s="3"/>
      <c r="G3" s="3"/>
      <c r="H3" s="3"/>
      <c r="I3" s="3"/>
      <c r="J3" s="3"/>
    </row>
    <row r="5" spans="2:10" ht="30" x14ac:dyDescent="0.25">
      <c r="B5" s="18" t="s">
        <v>333</v>
      </c>
      <c r="C5" s="18" t="s">
        <v>334</v>
      </c>
      <c r="D5" s="18" t="s">
        <v>77</v>
      </c>
      <c r="E5" s="18" t="s">
        <v>107</v>
      </c>
      <c r="F5" s="18" t="s">
        <v>335</v>
      </c>
      <c r="G5" s="18" t="s">
        <v>99</v>
      </c>
      <c r="H5" s="18" t="s">
        <v>336</v>
      </c>
      <c r="I5" s="18" t="s">
        <v>337</v>
      </c>
      <c r="J5" s="18" t="s">
        <v>90</v>
      </c>
    </row>
    <row r="6" spans="2:10" x14ac:dyDescent="0.25">
      <c r="B6" s="92">
        <f>StartDate+0</f>
        <v>46237</v>
      </c>
      <c r="C6" s="93" t="s">
        <v>108</v>
      </c>
      <c r="D6" s="94">
        <v>1</v>
      </c>
      <c r="E6" s="95" t="s">
        <v>116</v>
      </c>
      <c r="F6" s="96" t="s">
        <v>117</v>
      </c>
      <c r="G6" s="97"/>
      <c r="H6" s="97"/>
      <c r="I6" s="97"/>
      <c r="J6" s="97"/>
    </row>
    <row r="7" spans="2:10" x14ac:dyDescent="0.25">
      <c r="B7" s="92">
        <f>StartDate+1</f>
        <v>46238</v>
      </c>
      <c r="C7" s="93" t="s">
        <v>109</v>
      </c>
      <c r="D7" s="94">
        <v>1</v>
      </c>
      <c r="E7" s="95" t="s">
        <v>116</v>
      </c>
      <c r="F7" s="98" t="s">
        <v>118</v>
      </c>
      <c r="G7" s="97"/>
      <c r="H7" s="97"/>
      <c r="I7" s="97"/>
      <c r="J7" s="97"/>
    </row>
    <row r="8" spans="2:10" x14ac:dyDescent="0.25">
      <c r="B8" s="92">
        <f>StartDate+2</f>
        <v>46239</v>
      </c>
      <c r="C8" s="93" t="s">
        <v>338</v>
      </c>
      <c r="D8" s="94">
        <v>1</v>
      </c>
      <c r="E8" s="95" t="s">
        <v>116</v>
      </c>
      <c r="F8" s="99" t="s">
        <v>119</v>
      </c>
      <c r="G8" s="97"/>
      <c r="H8" s="97"/>
      <c r="I8" s="97"/>
      <c r="J8" s="97"/>
    </row>
    <row r="9" spans="2:10" x14ac:dyDescent="0.25">
      <c r="B9" s="92">
        <f>StartDate+3</f>
        <v>46240</v>
      </c>
      <c r="C9" s="93" t="s">
        <v>111</v>
      </c>
      <c r="D9" s="94">
        <v>1</v>
      </c>
      <c r="E9" s="95" t="s">
        <v>116</v>
      </c>
      <c r="F9" s="96" t="s">
        <v>117</v>
      </c>
      <c r="G9" s="97"/>
      <c r="H9" s="97"/>
      <c r="I9" s="97"/>
      <c r="J9" s="97"/>
    </row>
    <row r="10" spans="2:10" x14ac:dyDescent="0.25">
      <c r="B10" s="92">
        <f>StartDate+4</f>
        <v>46241</v>
      </c>
      <c r="C10" s="93" t="s">
        <v>112</v>
      </c>
      <c r="D10" s="94">
        <v>1</v>
      </c>
      <c r="E10" s="95" t="s">
        <v>116</v>
      </c>
      <c r="F10" s="98" t="s">
        <v>118</v>
      </c>
      <c r="G10" s="97"/>
      <c r="H10" s="97"/>
      <c r="I10" s="97"/>
      <c r="J10" s="97"/>
    </row>
    <row r="11" spans="2:10" x14ac:dyDescent="0.25">
      <c r="B11" s="92">
        <f>StartDate+5</f>
        <v>46242</v>
      </c>
      <c r="C11" s="93" t="s">
        <v>339</v>
      </c>
      <c r="D11" s="94">
        <v>1</v>
      </c>
      <c r="E11" s="95" t="s">
        <v>116</v>
      </c>
      <c r="F11" s="100" t="s">
        <v>120</v>
      </c>
      <c r="G11" s="97"/>
      <c r="H11" s="97"/>
      <c r="I11" s="97"/>
      <c r="J11" s="97"/>
    </row>
    <row r="12" spans="2:10" x14ac:dyDescent="0.25">
      <c r="B12" s="92">
        <f>StartDate+6</f>
        <v>46243</v>
      </c>
      <c r="C12" s="93" t="s">
        <v>114</v>
      </c>
      <c r="D12" s="94">
        <v>1</v>
      </c>
      <c r="E12" s="95" t="s">
        <v>116</v>
      </c>
      <c r="F12" s="96" t="s">
        <v>121</v>
      </c>
      <c r="G12" s="97"/>
      <c r="H12" s="97"/>
      <c r="I12" s="97"/>
      <c r="J12" s="97"/>
    </row>
    <row r="13" spans="2:10" x14ac:dyDescent="0.25">
      <c r="B13" s="92">
        <f>StartDate+7</f>
        <v>46244</v>
      </c>
      <c r="C13" s="93" t="s">
        <v>108</v>
      </c>
      <c r="D13" s="94">
        <v>2</v>
      </c>
      <c r="E13" s="95" t="s">
        <v>123</v>
      </c>
      <c r="F13" s="96" t="s">
        <v>117</v>
      </c>
      <c r="G13" s="97"/>
      <c r="H13" s="97"/>
      <c r="I13" s="97"/>
      <c r="J13" s="97"/>
    </row>
    <row r="14" spans="2:10" x14ac:dyDescent="0.25">
      <c r="B14" s="92">
        <f>StartDate+8</f>
        <v>46245</v>
      </c>
      <c r="C14" s="93" t="s">
        <v>109</v>
      </c>
      <c r="D14" s="94">
        <v>2</v>
      </c>
      <c r="E14" s="95" t="s">
        <v>123</v>
      </c>
      <c r="F14" s="98" t="s">
        <v>118</v>
      </c>
      <c r="G14" s="97"/>
      <c r="H14" s="97"/>
      <c r="I14" s="97"/>
      <c r="J14" s="97"/>
    </row>
    <row r="15" spans="2:10" x14ac:dyDescent="0.25">
      <c r="B15" s="92">
        <f>StartDate+9</f>
        <v>46246</v>
      </c>
      <c r="C15" s="93" t="s">
        <v>338</v>
      </c>
      <c r="D15" s="94">
        <v>2</v>
      </c>
      <c r="E15" s="95" t="s">
        <v>123</v>
      </c>
      <c r="F15" s="99" t="s">
        <v>124</v>
      </c>
      <c r="G15" s="97"/>
      <c r="H15" s="97"/>
      <c r="I15" s="97"/>
      <c r="J15" s="97"/>
    </row>
    <row r="16" spans="2:10" x14ac:dyDescent="0.25">
      <c r="B16" s="92">
        <f>StartDate+10</f>
        <v>46247</v>
      </c>
      <c r="C16" s="93" t="s">
        <v>111</v>
      </c>
      <c r="D16" s="94">
        <v>2</v>
      </c>
      <c r="E16" s="95" t="s">
        <v>123</v>
      </c>
      <c r="F16" s="96" t="s">
        <v>117</v>
      </c>
      <c r="G16" s="97"/>
      <c r="H16" s="97"/>
      <c r="I16" s="97"/>
      <c r="J16" s="97"/>
    </row>
    <row r="17" spans="2:10" x14ac:dyDescent="0.25">
      <c r="B17" s="92">
        <f>StartDate+11</f>
        <v>46248</v>
      </c>
      <c r="C17" s="93" t="s">
        <v>112</v>
      </c>
      <c r="D17" s="94">
        <v>2</v>
      </c>
      <c r="E17" s="95" t="s">
        <v>123</v>
      </c>
      <c r="F17" s="98" t="s">
        <v>118</v>
      </c>
      <c r="G17" s="97"/>
      <c r="H17" s="97"/>
      <c r="I17" s="97"/>
      <c r="J17" s="97"/>
    </row>
    <row r="18" spans="2:10" x14ac:dyDescent="0.25">
      <c r="B18" s="92">
        <f>StartDate+12</f>
        <v>46249</v>
      </c>
      <c r="C18" s="93" t="s">
        <v>339</v>
      </c>
      <c r="D18" s="94">
        <v>2</v>
      </c>
      <c r="E18" s="95" t="s">
        <v>123</v>
      </c>
      <c r="F18" s="100" t="s">
        <v>125</v>
      </c>
      <c r="G18" s="97"/>
      <c r="H18" s="97"/>
      <c r="I18" s="97"/>
      <c r="J18" s="97"/>
    </row>
    <row r="19" spans="2:10" x14ac:dyDescent="0.25">
      <c r="B19" s="92">
        <f>StartDate+13</f>
        <v>46250</v>
      </c>
      <c r="C19" s="93" t="s">
        <v>114</v>
      </c>
      <c r="D19" s="94">
        <v>2</v>
      </c>
      <c r="E19" s="95" t="s">
        <v>123</v>
      </c>
      <c r="F19" s="96" t="s">
        <v>121</v>
      </c>
      <c r="G19" s="97"/>
      <c r="H19" s="97"/>
      <c r="I19" s="97"/>
      <c r="J19" s="97"/>
    </row>
    <row r="20" spans="2:10" x14ac:dyDescent="0.25">
      <c r="B20" s="92">
        <f>StartDate+14</f>
        <v>46251</v>
      </c>
      <c r="C20" s="93" t="s">
        <v>108</v>
      </c>
      <c r="D20" s="94">
        <v>3</v>
      </c>
      <c r="E20" s="95" t="s">
        <v>127</v>
      </c>
      <c r="F20" s="96" t="s">
        <v>117</v>
      </c>
      <c r="G20" s="97"/>
      <c r="H20" s="97"/>
      <c r="I20" s="97"/>
      <c r="J20" s="97"/>
    </row>
    <row r="21" spans="2:10" x14ac:dyDescent="0.25">
      <c r="B21" s="92">
        <f>StartDate+15</f>
        <v>46252</v>
      </c>
      <c r="C21" s="93" t="s">
        <v>109</v>
      </c>
      <c r="D21" s="94">
        <v>3</v>
      </c>
      <c r="E21" s="95" t="s">
        <v>127</v>
      </c>
      <c r="F21" s="98" t="s">
        <v>118</v>
      </c>
      <c r="G21" s="97"/>
      <c r="H21" s="97"/>
      <c r="I21" s="97"/>
      <c r="J21" s="97"/>
    </row>
    <row r="22" spans="2:10" x14ac:dyDescent="0.25">
      <c r="B22" s="92">
        <f>StartDate+16</f>
        <v>46253</v>
      </c>
      <c r="C22" s="93" t="s">
        <v>338</v>
      </c>
      <c r="D22" s="94">
        <v>3</v>
      </c>
      <c r="E22" s="95" t="s">
        <v>127</v>
      </c>
      <c r="F22" s="99" t="s">
        <v>128</v>
      </c>
      <c r="G22" s="97"/>
      <c r="H22" s="97"/>
      <c r="I22" s="97"/>
      <c r="J22" s="97"/>
    </row>
    <row r="23" spans="2:10" x14ac:dyDescent="0.25">
      <c r="B23" s="92">
        <f>StartDate+17</f>
        <v>46254</v>
      </c>
      <c r="C23" s="93" t="s">
        <v>111</v>
      </c>
      <c r="D23" s="94">
        <v>3</v>
      </c>
      <c r="E23" s="95" t="s">
        <v>127</v>
      </c>
      <c r="F23" s="96" t="s">
        <v>117</v>
      </c>
      <c r="G23" s="97"/>
      <c r="H23" s="97"/>
      <c r="I23" s="97"/>
      <c r="J23" s="97"/>
    </row>
    <row r="24" spans="2:10" x14ac:dyDescent="0.25">
      <c r="B24" s="92">
        <f>StartDate+18</f>
        <v>46255</v>
      </c>
      <c r="C24" s="93" t="s">
        <v>112</v>
      </c>
      <c r="D24" s="94">
        <v>3</v>
      </c>
      <c r="E24" s="95" t="s">
        <v>127</v>
      </c>
      <c r="F24" s="98" t="s">
        <v>118</v>
      </c>
      <c r="G24" s="97"/>
      <c r="H24" s="97"/>
      <c r="I24" s="97"/>
      <c r="J24" s="97"/>
    </row>
    <row r="25" spans="2:10" x14ac:dyDescent="0.25">
      <c r="B25" s="92">
        <f>StartDate+19</f>
        <v>46256</v>
      </c>
      <c r="C25" s="93" t="s">
        <v>339</v>
      </c>
      <c r="D25" s="94">
        <v>3</v>
      </c>
      <c r="E25" s="95" t="s">
        <v>127</v>
      </c>
      <c r="F25" s="100" t="s">
        <v>129</v>
      </c>
      <c r="G25" s="97"/>
      <c r="H25" s="97"/>
      <c r="I25" s="97"/>
      <c r="J25" s="97"/>
    </row>
    <row r="26" spans="2:10" x14ac:dyDescent="0.25">
      <c r="B26" s="92">
        <f>StartDate+20</f>
        <v>46257</v>
      </c>
      <c r="C26" s="93" t="s">
        <v>114</v>
      </c>
      <c r="D26" s="94">
        <v>3</v>
      </c>
      <c r="E26" s="95" t="s">
        <v>127</v>
      </c>
      <c r="F26" s="96" t="s">
        <v>121</v>
      </c>
      <c r="G26" s="97"/>
      <c r="H26" s="97"/>
      <c r="I26" s="97"/>
      <c r="J26" s="97"/>
    </row>
    <row r="27" spans="2:10" x14ac:dyDescent="0.25">
      <c r="B27" s="92">
        <f>StartDate+21</f>
        <v>46258</v>
      </c>
      <c r="C27" s="93" t="s">
        <v>108</v>
      </c>
      <c r="D27" s="94">
        <v>4</v>
      </c>
      <c r="E27" s="95" t="s">
        <v>131</v>
      </c>
      <c r="F27" s="96" t="s">
        <v>117</v>
      </c>
      <c r="G27" s="97"/>
      <c r="H27" s="97"/>
      <c r="I27" s="97"/>
      <c r="J27" s="97"/>
    </row>
    <row r="28" spans="2:10" x14ac:dyDescent="0.25">
      <c r="B28" s="92">
        <f>StartDate+22</f>
        <v>46259</v>
      </c>
      <c r="C28" s="93" t="s">
        <v>109</v>
      </c>
      <c r="D28" s="94">
        <v>4</v>
      </c>
      <c r="E28" s="95" t="s">
        <v>131</v>
      </c>
      <c r="F28" s="98" t="s">
        <v>118</v>
      </c>
      <c r="G28" s="97"/>
      <c r="H28" s="97"/>
      <c r="I28" s="97"/>
      <c r="J28" s="97"/>
    </row>
    <row r="29" spans="2:10" x14ac:dyDescent="0.25">
      <c r="B29" s="92">
        <f>StartDate+23</f>
        <v>46260</v>
      </c>
      <c r="C29" s="93" t="s">
        <v>338</v>
      </c>
      <c r="D29" s="94">
        <v>4</v>
      </c>
      <c r="E29" s="95" t="s">
        <v>131</v>
      </c>
      <c r="F29" s="99" t="s">
        <v>132</v>
      </c>
      <c r="G29" s="97"/>
      <c r="H29" s="97"/>
      <c r="I29" s="97"/>
      <c r="J29" s="97"/>
    </row>
    <row r="30" spans="2:10" x14ac:dyDescent="0.25">
      <c r="B30" s="92">
        <f>StartDate+24</f>
        <v>46261</v>
      </c>
      <c r="C30" s="93" t="s">
        <v>111</v>
      </c>
      <c r="D30" s="94">
        <v>4</v>
      </c>
      <c r="E30" s="95" t="s">
        <v>131</v>
      </c>
      <c r="F30" s="96" t="s">
        <v>117</v>
      </c>
      <c r="G30" s="97"/>
      <c r="H30" s="97"/>
      <c r="I30" s="97"/>
      <c r="J30" s="97"/>
    </row>
    <row r="31" spans="2:10" x14ac:dyDescent="0.25">
      <c r="B31" s="92">
        <f>StartDate+25</f>
        <v>46262</v>
      </c>
      <c r="C31" s="93" t="s">
        <v>112</v>
      </c>
      <c r="D31" s="94">
        <v>4</v>
      </c>
      <c r="E31" s="95" t="s">
        <v>131</v>
      </c>
      <c r="F31" s="98" t="s">
        <v>118</v>
      </c>
      <c r="G31" s="97"/>
      <c r="H31" s="97"/>
      <c r="I31" s="97"/>
      <c r="J31" s="97"/>
    </row>
    <row r="32" spans="2:10" x14ac:dyDescent="0.25">
      <c r="B32" s="92">
        <f>StartDate+26</f>
        <v>46263</v>
      </c>
      <c r="C32" s="93" t="s">
        <v>339</v>
      </c>
      <c r="D32" s="94">
        <v>4</v>
      </c>
      <c r="E32" s="95" t="s">
        <v>131</v>
      </c>
      <c r="F32" s="100" t="s">
        <v>133</v>
      </c>
      <c r="G32" s="97"/>
      <c r="H32" s="97"/>
      <c r="I32" s="97"/>
      <c r="J32" s="97"/>
    </row>
    <row r="33" spans="2:10" x14ac:dyDescent="0.25">
      <c r="B33" s="92">
        <f>StartDate+27</f>
        <v>46264</v>
      </c>
      <c r="C33" s="93" t="s">
        <v>114</v>
      </c>
      <c r="D33" s="94">
        <v>4</v>
      </c>
      <c r="E33" s="95" t="s">
        <v>131</v>
      </c>
      <c r="F33" s="96" t="s">
        <v>121</v>
      </c>
      <c r="G33" s="97"/>
      <c r="H33" s="97"/>
      <c r="I33" s="97"/>
      <c r="J33" s="97"/>
    </row>
    <row r="34" spans="2:10" x14ac:dyDescent="0.25">
      <c r="B34" s="92">
        <f>StartDate+28</f>
        <v>46265</v>
      </c>
      <c r="C34" s="93" t="s">
        <v>108</v>
      </c>
      <c r="D34" s="94">
        <v>5</v>
      </c>
      <c r="E34" s="101" t="s">
        <v>135</v>
      </c>
      <c r="F34" s="96" t="s">
        <v>117</v>
      </c>
      <c r="G34" s="97"/>
      <c r="H34" s="97"/>
      <c r="I34" s="97"/>
      <c r="J34" s="97"/>
    </row>
    <row r="35" spans="2:10" x14ac:dyDescent="0.25">
      <c r="B35" s="92">
        <f>StartDate+29</f>
        <v>46266</v>
      </c>
      <c r="C35" s="93" t="s">
        <v>109</v>
      </c>
      <c r="D35" s="94">
        <v>5</v>
      </c>
      <c r="E35" s="101" t="s">
        <v>135</v>
      </c>
      <c r="F35" s="98" t="s">
        <v>118</v>
      </c>
      <c r="G35" s="97"/>
      <c r="H35" s="97"/>
      <c r="I35" s="97"/>
      <c r="J35" s="97"/>
    </row>
    <row r="36" spans="2:10" ht="25.5" x14ac:dyDescent="0.25">
      <c r="B36" s="92">
        <f>StartDate+30</f>
        <v>46267</v>
      </c>
      <c r="C36" s="93" t="s">
        <v>338</v>
      </c>
      <c r="D36" s="94">
        <v>5</v>
      </c>
      <c r="E36" s="101" t="s">
        <v>135</v>
      </c>
      <c r="F36" s="99" t="s">
        <v>136</v>
      </c>
      <c r="G36" s="97"/>
      <c r="H36" s="97"/>
      <c r="I36" s="97"/>
      <c r="J36" s="97"/>
    </row>
    <row r="37" spans="2:10" x14ac:dyDescent="0.25">
      <c r="B37" s="92">
        <f>StartDate+31</f>
        <v>46268</v>
      </c>
      <c r="C37" s="93" t="s">
        <v>111</v>
      </c>
      <c r="D37" s="94">
        <v>5</v>
      </c>
      <c r="E37" s="101" t="s">
        <v>135</v>
      </c>
      <c r="F37" s="96" t="s">
        <v>117</v>
      </c>
      <c r="G37" s="97"/>
      <c r="H37" s="97"/>
      <c r="I37" s="97"/>
      <c r="J37" s="97"/>
    </row>
    <row r="38" spans="2:10" x14ac:dyDescent="0.25">
      <c r="B38" s="92">
        <f>StartDate+32</f>
        <v>46269</v>
      </c>
      <c r="C38" s="93" t="s">
        <v>112</v>
      </c>
      <c r="D38" s="94">
        <v>5</v>
      </c>
      <c r="E38" s="101" t="s">
        <v>135</v>
      </c>
      <c r="F38" s="98" t="s">
        <v>118</v>
      </c>
      <c r="G38" s="97"/>
      <c r="H38" s="97"/>
      <c r="I38" s="97"/>
      <c r="J38" s="97"/>
    </row>
    <row r="39" spans="2:10" x14ac:dyDescent="0.25">
      <c r="B39" s="92">
        <f>StartDate+33</f>
        <v>46270</v>
      </c>
      <c r="C39" s="93" t="s">
        <v>339</v>
      </c>
      <c r="D39" s="94">
        <v>5</v>
      </c>
      <c r="E39" s="101" t="s">
        <v>135</v>
      </c>
      <c r="F39" s="100" t="s">
        <v>137</v>
      </c>
      <c r="G39" s="97"/>
      <c r="H39" s="97"/>
      <c r="I39" s="97"/>
      <c r="J39" s="97"/>
    </row>
    <row r="40" spans="2:10" x14ac:dyDescent="0.25">
      <c r="B40" s="92">
        <f>StartDate+34</f>
        <v>46271</v>
      </c>
      <c r="C40" s="93" t="s">
        <v>114</v>
      </c>
      <c r="D40" s="94">
        <v>5</v>
      </c>
      <c r="E40" s="101" t="s">
        <v>135</v>
      </c>
      <c r="F40" s="96" t="s">
        <v>121</v>
      </c>
      <c r="G40" s="97"/>
      <c r="H40" s="97"/>
      <c r="I40" s="97"/>
      <c r="J40" s="97"/>
    </row>
    <row r="41" spans="2:10" x14ac:dyDescent="0.25">
      <c r="B41" s="92">
        <f>StartDate+35</f>
        <v>46272</v>
      </c>
      <c r="C41" s="93" t="s">
        <v>108</v>
      </c>
      <c r="D41" s="94">
        <v>6</v>
      </c>
      <c r="E41" s="102" t="s">
        <v>139</v>
      </c>
      <c r="F41" s="96" t="s">
        <v>117</v>
      </c>
      <c r="G41" s="97"/>
      <c r="H41" s="97"/>
      <c r="I41" s="97"/>
      <c r="J41" s="97"/>
    </row>
    <row r="42" spans="2:10" x14ac:dyDescent="0.25">
      <c r="B42" s="92">
        <f>StartDate+36</f>
        <v>46273</v>
      </c>
      <c r="C42" s="93" t="s">
        <v>109</v>
      </c>
      <c r="D42" s="94">
        <v>6</v>
      </c>
      <c r="E42" s="102" t="s">
        <v>139</v>
      </c>
      <c r="F42" s="98" t="s">
        <v>118</v>
      </c>
      <c r="G42" s="97"/>
      <c r="H42" s="97"/>
      <c r="I42" s="97"/>
      <c r="J42" s="97"/>
    </row>
    <row r="43" spans="2:10" x14ac:dyDescent="0.25">
      <c r="B43" s="92">
        <f>StartDate+37</f>
        <v>46274</v>
      </c>
      <c r="C43" s="93" t="s">
        <v>338</v>
      </c>
      <c r="D43" s="94">
        <v>6</v>
      </c>
      <c r="E43" s="102" t="s">
        <v>139</v>
      </c>
      <c r="F43" s="99" t="s">
        <v>140</v>
      </c>
      <c r="G43" s="97"/>
      <c r="H43" s="97"/>
      <c r="I43" s="97"/>
      <c r="J43" s="97"/>
    </row>
    <row r="44" spans="2:10" x14ac:dyDescent="0.25">
      <c r="B44" s="92">
        <f>StartDate+38</f>
        <v>46275</v>
      </c>
      <c r="C44" s="93" t="s">
        <v>111</v>
      </c>
      <c r="D44" s="94">
        <v>6</v>
      </c>
      <c r="E44" s="102" t="s">
        <v>139</v>
      </c>
      <c r="F44" s="96" t="s">
        <v>117</v>
      </c>
      <c r="G44" s="97"/>
      <c r="H44" s="97"/>
      <c r="I44" s="97"/>
      <c r="J44" s="97"/>
    </row>
    <row r="45" spans="2:10" x14ac:dyDescent="0.25">
      <c r="B45" s="92">
        <f>StartDate+39</f>
        <v>46276</v>
      </c>
      <c r="C45" s="93" t="s">
        <v>112</v>
      </c>
      <c r="D45" s="94">
        <v>6</v>
      </c>
      <c r="E45" s="102" t="s">
        <v>139</v>
      </c>
      <c r="F45" s="98" t="s">
        <v>118</v>
      </c>
      <c r="G45" s="97"/>
      <c r="H45" s="97"/>
      <c r="I45" s="97"/>
      <c r="J45" s="97"/>
    </row>
    <row r="46" spans="2:10" x14ac:dyDescent="0.25">
      <c r="B46" s="92">
        <f>StartDate+40</f>
        <v>46277</v>
      </c>
      <c r="C46" s="93" t="s">
        <v>339</v>
      </c>
      <c r="D46" s="94">
        <v>6</v>
      </c>
      <c r="E46" s="102" t="s">
        <v>139</v>
      </c>
      <c r="F46" s="100" t="s">
        <v>141</v>
      </c>
      <c r="G46" s="97"/>
      <c r="H46" s="97"/>
      <c r="I46" s="97"/>
      <c r="J46" s="97"/>
    </row>
    <row r="47" spans="2:10" x14ac:dyDescent="0.25">
      <c r="B47" s="92">
        <f>StartDate+41</f>
        <v>46278</v>
      </c>
      <c r="C47" s="93" t="s">
        <v>114</v>
      </c>
      <c r="D47" s="94">
        <v>6</v>
      </c>
      <c r="E47" s="102" t="s">
        <v>139</v>
      </c>
      <c r="F47" s="96" t="s">
        <v>121</v>
      </c>
      <c r="G47" s="97"/>
      <c r="H47" s="97"/>
      <c r="I47" s="97"/>
      <c r="J47" s="97"/>
    </row>
    <row r="48" spans="2:10" x14ac:dyDescent="0.25">
      <c r="B48" s="92">
        <f>StartDate+42</f>
        <v>46279</v>
      </c>
      <c r="C48" s="93" t="s">
        <v>108</v>
      </c>
      <c r="D48" s="94">
        <v>7</v>
      </c>
      <c r="E48" s="102" t="s">
        <v>143</v>
      </c>
      <c r="F48" s="96" t="s">
        <v>117</v>
      </c>
      <c r="G48" s="97"/>
      <c r="H48" s="97"/>
      <c r="I48" s="97"/>
      <c r="J48" s="97"/>
    </row>
    <row r="49" spans="2:10" x14ac:dyDescent="0.25">
      <c r="B49" s="92">
        <f>StartDate+43</f>
        <v>46280</v>
      </c>
      <c r="C49" s="93" t="s">
        <v>109</v>
      </c>
      <c r="D49" s="94">
        <v>7</v>
      </c>
      <c r="E49" s="102" t="s">
        <v>143</v>
      </c>
      <c r="F49" s="98" t="s">
        <v>118</v>
      </c>
      <c r="G49" s="97"/>
      <c r="H49" s="97"/>
      <c r="I49" s="97"/>
      <c r="J49" s="97"/>
    </row>
    <row r="50" spans="2:10" x14ac:dyDescent="0.25">
      <c r="B50" s="92">
        <f>StartDate+44</f>
        <v>46281</v>
      </c>
      <c r="C50" s="93" t="s">
        <v>338</v>
      </c>
      <c r="D50" s="94">
        <v>7</v>
      </c>
      <c r="E50" s="102" t="s">
        <v>143</v>
      </c>
      <c r="F50" s="99" t="s">
        <v>144</v>
      </c>
      <c r="G50" s="97"/>
      <c r="H50" s="97"/>
      <c r="I50" s="97"/>
      <c r="J50" s="97"/>
    </row>
    <row r="51" spans="2:10" x14ac:dyDescent="0.25">
      <c r="B51" s="92">
        <f>StartDate+45</f>
        <v>46282</v>
      </c>
      <c r="C51" s="93" t="s">
        <v>111</v>
      </c>
      <c r="D51" s="94">
        <v>7</v>
      </c>
      <c r="E51" s="102" t="s">
        <v>143</v>
      </c>
      <c r="F51" s="96" t="s">
        <v>117</v>
      </c>
      <c r="G51" s="97"/>
      <c r="H51" s="97"/>
      <c r="I51" s="97"/>
      <c r="J51" s="97"/>
    </row>
    <row r="52" spans="2:10" x14ac:dyDescent="0.25">
      <c r="B52" s="92">
        <f>StartDate+46</f>
        <v>46283</v>
      </c>
      <c r="C52" s="93" t="s">
        <v>112</v>
      </c>
      <c r="D52" s="94">
        <v>7</v>
      </c>
      <c r="E52" s="102" t="s">
        <v>143</v>
      </c>
      <c r="F52" s="98" t="s">
        <v>118</v>
      </c>
      <c r="G52" s="97"/>
      <c r="H52" s="97"/>
      <c r="I52" s="97"/>
      <c r="J52" s="97"/>
    </row>
    <row r="53" spans="2:10" x14ac:dyDescent="0.25">
      <c r="B53" s="92">
        <f>StartDate+47</f>
        <v>46284</v>
      </c>
      <c r="C53" s="93" t="s">
        <v>339</v>
      </c>
      <c r="D53" s="94">
        <v>7</v>
      </c>
      <c r="E53" s="102" t="s">
        <v>143</v>
      </c>
      <c r="F53" s="100" t="s">
        <v>145</v>
      </c>
      <c r="G53" s="97"/>
      <c r="H53" s="97"/>
      <c r="I53" s="97"/>
      <c r="J53" s="97"/>
    </row>
    <row r="54" spans="2:10" x14ac:dyDescent="0.25">
      <c r="B54" s="92">
        <f>StartDate+48</f>
        <v>46285</v>
      </c>
      <c r="C54" s="93" t="s">
        <v>114</v>
      </c>
      <c r="D54" s="94">
        <v>7</v>
      </c>
      <c r="E54" s="102" t="s">
        <v>143</v>
      </c>
      <c r="F54" s="96" t="s">
        <v>121</v>
      </c>
      <c r="G54" s="97"/>
      <c r="H54" s="97"/>
      <c r="I54" s="97"/>
      <c r="J54" s="97"/>
    </row>
    <row r="55" spans="2:10" x14ac:dyDescent="0.25">
      <c r="B55" s="92">
        <f>StartDate+49</f>
        <v>46286</v>
      </c>
      <c r="C55" s="93" t="s">
        <v>108</v>
      </c>
      <c r="D55" s="94">
        <v>8</v>
      </c>
      <c r="E55" s="102" t="s">
        <v>147</v>
      </c>
      <c r="F55" s="96" t="s">
        <v>117</v>
      </c>
      <c r="G55" s="97"/>
      <c r="H55" s="97"/>
      <c r="I55" s="97"/>
      <c r="J55" s="97"/>
    </row>
    <row r="56" spans="2:10" x14ac:dyDescent="0.25">
      <c r="B56" s="92">
        <f>StartDate+50</f>
        <v>46287</v>
      </c>
      <c r="C56" s="93" t="s">
        <v>109</v>
      </c>
      <c r="D56" s="94">
        <v>8</v>
      </c>
      <c r="E56" s="102" t="s">
        <v>147</v>
      </c>
      <c r="F56" s="98" t="s">
        <v>118</v>
      </c>
      <c r="G56" s="97"/>
      <c r="H56" s="97"/>
      <c r="I56" s="97"/>
      <c r="J56" s="97"/>
    </row>
    <row r="57" spans="2:10" x14ac:dyDescent="0.25">
      <c r="B57" s="92">
        <f>StartDate+51</f>
        <v>46288</v>
      </c>
      <c r="C57" s="93" t="s">
        <v>338</v>
      </c>
      <c r="D57" s="94">
        <v>8</v>
      </c>
      <c r="E57" s="102" t="s">
        <v>147</v>
      </c>
      <c r="F57" s="99" t="s">
        <v>148</v>
      </c>
      <c r="G57" s="97"/>
      <c r="H57" s="97"/>
      <c r="I57" s="97"/>
      <c r="J57" s="97"/>
    </row>
    <row r="58" spans="2:10" x14ac:dyDescent="0.25">
      <c r="B58" s="92">
        <f>StartDate+52</f>
        <v>46289</v>
      </c>
      <c r="C58" s="93" t="s">
        <v>111</v>
      </c>
      <c r="D58" s="94">
        <v>8</v>
      </c>
      <c r="E58" s="102" t="s">
        <v>147</v>
      </c>
      <c r="F58" s="96" t="s">
        <v>117</v>
      </c>
      <c r="G58" s="97"/>
      <c r="H58" s="97"/>
      <c r="I58" s="97"/>
      <c r="J58" s="97"/>
    </row>
    <row r="59" spans="2:10" x14ac:dyDescent="0.25">
      <c r="B59" s="92">
        <f>StartDate+53</f>
        <v>46290</v>
      </c>
      <c r="C59" s="93" t="s">
        <v>112</v>
      </c>
      <c r="D59" s="94">
        <v>8</v>
      </c>
      <c r="E59" s="102" t="s">
        <v>147</v>
      </c>
      <c r="F59" s="98" t="s">
        <v>118</v>
      </c>
      <c r="G59" s="97"/>
      <c r="H59" s="97"/>
      <c r="I59" s="97"/>
      <c r="J59" s="97"/>
    </row>
    <row r="60" spans="2:10" x14ac:dyDescent="0.25">
      <c r="B60" s="92">
        <f>StartDate+54</f>
        <v>46291</v>
      </c>
      <c r="C60" s="93" t="s">
        <v>339</v>
      </c>
      <c r="D60" s="94">
        <v>8</v>
      </c>
      <c r="E60" s="102" t="s">
        <v>147</v>
      </c>
      <c r="F60" s="100" t="s">
        <v>149</v>
      </c>
      <c r="G60" s="97"/>
      <c r="H60" s="97"/>
      <c r="I60" s="97"/>
      <c r="J60" s="97"/>
    </row>
    <row r="61" spans="2:10" x14ac:dyDescent="0.25">
      <c r="B61" s="92">
        <f>StartDate+55</f>
        <v>46292</v>
      </c>
      <c r="C61" s="93" t="s">
        <v>114</v>
      </c>
      <c r="D61" s="94">
        <v>8</v>
      </c>
      <c r="E61" s="102" t="s">
        <v>147</v>
      </c>
      <c r="F61" s="96" t="s">
        <v>121</v>
      </c>
      <c r="G61" s="97"/>
      <c r="H61" s="97"/>
      <c r="I61" s="97"/>
      <c r="J61" s="97"/>
    </row>
    <row r="62" spans="2:10" x14ac:dyDescent="0.25">
      <c r="B62" s="92">
        <f>StartDate+56</f>
        <v>46293</v>
      </c>
      <c r="C62" s="93" t="s">
        <v>108</v>
      </c>
      <c r="D62" s="94">
        <v>9</v>
      </c>
      <c r="E62" s="102" t="s">
        <v>151</v>
      </c>
      <c r="F62" s="96" t="s">
        <v>117</v>
      </c>
      <c r="G62" s="97"/>
      <c r="H62" s="97"/>
      <c r="I62" s="97"/>
      <c r="J62" s="97"/>
    </row>
    <row r="63" spans="2:10" x14ac:dyDescent="0.25">
      <c r="B63" s="92">
        <f>StartDate+57</f>
        <v>46294</v>
      </c>
      <c r="C63" s="93" t="s">
        <v>109</v>
      </c>
      <c r="D63" s="94">
        <v>9</v>
      </c>
      <c r="E63" s="102" t="s">
        <v>151</v>
      </c>
      <c r="F63" s="98" t="s">
        <v>118</v>
      </c>
      <c r="G63" s="97"/>
      <c r="H63" s="97"/>
      <c r="I63" s="97"/>
      <c r="J63" s="97"/>
    </row>
    <row r="64" spans="2:10" x14ac:dyDescent="0.25">
      <c r="B64" s="92">
        <f>StartDate+58</f>
        <v>46295</v>
      </c>
      <c r="C64" s="93" t="s">
        <v>338</v>
      </c>
      <c r="D64" s="94">
        <v>9</v>
      </c>
      <c r="E64" s="102" t="s">
        <v>151</v>
      </c>
      <c r="F64" s="99" t="s">
        <v>152</v>
      </c>
      <c r="G64" s="97"/>
      <c r="H64" s="97"/>
      <c r="I64" s="97"/>
      <c r="J64" s="97"/>
    </row>
    <row r="65" spans="2:10" x14ac:dyDescent="0.25">
      <c r="B65" s="92">
        <f>StartDate+59</f>
        <v>46296</v>
      </c>
      <c r="C65" s="93" t="s">
        <v>111</v>
      </c>
      <c r="D65" s="94">
        <v>9</v>
      </c>
      <c r="E65" s="102" t="s">
        <v>151</v>
      </c>
      <c r="F65" s="96" t="s">
        <v>117</v>
      </c>
      <c r="G65" s="97"/>
      <c r="H65" s="97"/>
      <c r="I65" s="97"/>
      <c r="J65" s="97"/>
    </row>
    <row r="66" spans="2:10" x14ac:dyDescent="0.25">
      <c r="B66" s="92">
        <f>StartDate+60</f>
        <v>46297</v>
      </c>
      <c r="C66" s="93" t="s">
        <v>112</v>
      </c>
      <c r="D66" s="94">
        <v>9</v>
      </c>
      <c r="E66" s="102" t="s">
        <v>151</v>
      </c>
      <c r="F66" s="98" t="s">
        <v>118</v>
      </c>
      <c r="G66" s="97"/>
      <c r="H66" s="97"/>
      <c r="I66" s="97"/>
      <c r="J66" s="97"/>
    </row>
    <row r="67" spans="2:10" x14ac:dyDescent="0.25">
      <c r="B67" s="92">
        <f>StartDate+61</f>
        <v>46298</v>
      </c>
      <c r="C67" s="93" t="s">
        <v>339</v>
      </c>
      <c r="D67" s="94">
        <v>9</v>
      </c>
      <c r="E67" s="102" t="s">
        <v>151</v>
      </c>
      <c r="F67" s="100" t="s">
        <v>153</v>
      </c>
      <c r="G67" s="97"/>
      <c r="H67" s="97"/>
      <c r="I67" s="97"/>
      <c r="J67" s="97"/>
    </row>
    <row r="68" spans="2:10" x14ac:dyDescent="0.25">
      <c r="B68" s="92">
        <f>StartDate+62</f>
        <v>46299</v>
      </c>
      <c r="C68" s="93" t="s">
        <v>114</v>
      </c>
      <c r="D68" s="94">
        <v>9</v>
      </c>
      <c r="E68" s="102" t="s">
        <v>151</v>
      </c>
      <c r="F68" s="96" t="s">
        <v>121</v>
      </c>
      <c r="G68" s="97"/>
      <c r="H68" s="97"/>
      <c r="I68" s="97"/>
      <c r="J68" s="97"/>
    </row>
    <row r="69" spans="2:10" x14ac:dyDescent="0.25">
      <c r="B69" s="92">
        <f>StartDate+63</f>
        <v>46300</v>
      </c>
      <c r="C69" s="93" t="s">
        <v>108</v>
      </c>
      <c r="D69" s="94">
        <v>10</v>
      </c>
      <c r="E69" s="102" t="s">
        <v>155</v>
      </c>
      <c r="F69" s="96" t="s">
        <v>117</v>
      </c>
      <c r="G69" s="97"/>
      <c r="H69" s="97"/>
      <c r="I69" s="97"/>
      <c r="J69" s="97"/>
    </row>
    <row r="70" spans="2:10" x14ac:dyDescent="0.25">
      <c r="B70" s="92">
        <f>StartDate+64</f>
        <v>46301</v>
      </c>
      <c r="C70" s="93" t="s">
        <v>109</v>
      </c>
      <c r="D70" s="94">
        <v>10</v>
      </c>
      <c r="E70" s="102" t="s">
        <v>155</v>
      </c>
      <c r="F70" s="98" t="s">
        <v>118</v>
      </c>
      <c r="G70" s="97"/>
      <c r="H70" s="97"/>
      <c r="I70" s="97"/>
      <c r="J70" s="97"/>
    </row>
    <row r="71" spans="2:10" x14ac:dyDescent="0.25">
      <c r="B71" s="92">
        <f>StartDate+65</f>
        <v>46302</v>
      </c>
      <c r="C71" s="93" t="s">
        <v>338</v>
      </c>
      <c r="D71" s="94">
        <v>10</v>
      </c>
      <c r="E71" s="102" t="s">
        <v>155</v>
      </c>
      <c r="F71" s="99" t="s">
        <v>156</v>
      </c>
      <c r="G71" s="97"/>
      <c r="H71" s="97"/>
      <c r="I71" s="97"/>
      <c r="J71" s="97"/>
    </row>
    <row r="72" spans="2:10" x14ac:dyDescent="0.25">
      <c r="B72" s="92">
        <f>StartDate+66</f>
        <v>46303</v>
      </c>
      <c r="C72" s="93" t="s">
        <v>111</v>
      </c>
      <c r="D72" s="94">
        <v>10</v>
      </c>
      <c r="E72" s="102" t="s">
        <v>155</v>
      </c>
      <c r="F72" s="96" t="s">
        <v>117</v>
      </c>
      <c r="G72" s="97"/>
      <c r="H72" s="97"/>
      <c r="I72" s="97"/>
      <c r="J72" s="97"/>
    </row>
    <row r="73" spans="2:10" x14ac:dyDescent="0.25">
      <c r="B73" s="92">
        <f>StartDate+67</f>
        <v>46304</v>
      </c>
      <c r="C73" s="93" t="s">
        <v>112</v>
      </c>
      <c r="D73" s="94">
        <v>10</v>
      </c>
      <c r="E73" s="102" t="s">
        <v>155</v>
      </c>
      <c r="F73" s="98" t="s">
        <v>118</v>
      </c>
      <c r="G73" s="97"/>
      <c r="H73" s="97"/>
      <c r="I73" s="97"/>
      <c r="J73" s="97"/>
    </row>
    <row r="74" spans="2:10" x14ac:dyDescent="0.25">
      <c r="B74" s="92">
        <f>StartDate+68</f>
        <v>46305</v>
      </c>
      <c r="C74" s="93" t="s">
        <v>339</v>
      </c>
      <c r="D74" s="94">
        <v>10</v>
      </c>
      <c r="E74" s="102" t="s">
        <v>155</v>
      </c>
      <c r="F74" s="100" t="s">
        <v>157</v>
      </c>
      <c r="G74" s="97"/>
      <c r="H74" s="97"/>
      <c r="I74" s="97"/>
      <c r="J74" s="97"/>
    </row>
    <row r="75" spans="2:10" x14ac:dyDescent="0.25">
      <c r="B75" s="92">
        <f>StartDate+69</f>
        <v>46306</v>
      </c>
      <c r="C75" s="93" t="s">
        <v>114</v>
      </c>
      <c r="D75" s="94">
        <v>10</v>
      </c>
      <c r="E75" s="102" t="s">
        <v>155</v>
      </c>
      <c r="F75" s="96" t="s">
        <v>121</v>
      </c>
      <c r="G75" s="97"/>
      <c r="H75" s="97"/>
      <c r="I75" s="97"/>
      <c r="J75" s="97"/>
    </row>
    <row r="76" spans="2:10" x14ac:dyDescent="0.25">
      <c r="B76" s="92">
        <f>StartDate+70</f>
        <v>46307</v>
      </c>
      <c r="C76" s="93" t="s">
        <v>108</v>
      </c>
      <c r="D76" s="94">
        <v>11</v>
      </c>
      <c r="E76" s="103" t="s">
        <v>159</v>
      </c>
      <c r="F76" s="96" t="s">
        <v>117</v>
      </c>
      <c r="G76" s="97"/>
      <c r="H76" s="97"/>
      <c r="I76" s="97"/>
      <c r="J76" s="97"/>
    </row>
    <row r="77" spans="2:10" x14ac:dyDescent="0.25">
      <c r="B77" s="92">
        <f>StartDate+71</f>
        <v>46308</v>
      </c>
      <c r="C77" s="93" t="s">
        <v>109</v>
      </c>
      <c r="D77" s="94">
        <v>11</v>
      </c>
      <c r="E77" s="103" t="s">
        <v>159</v>
      </c>
      <c r="F77" s="98" t="s">
        <v>118</v>
      </c>
      <c r="G77" s="97"/>
      <c r="H77" s="97"/>
      <c r="I77" s="97"/>
      <c r="J77" s="97"/>
    </row>
    <row r="78" spans="2:10" x14ac:dyDescent="0.25">
      <c r="B78" s="92">
        <f>StartDate+72</f>
        <v>46309</v>
      </c>
      <c r="C78" s="93" t="s">
        <v>338</v>
      </c>
      <c r="D78" s="94">
        <v>11</v>
      </c>
      <c r="E78" s="103" t="s">
        <v>159</v>
      </c>
      <c r="F78" s="99" t="s">
        <v>152</v>
      </c>
      <c r="G78" s="97"/>
      <c r="H78" s="97"/>
      <c r="I78" s="97"/>
      <c r="J78" s="97"/>
    </row>
    <row r="79" spans="2:10" x14ac:dyDescent="0.25">
      <c r="B79" s="92">
        <f>StartDate+73</f>
        <v>46310</v>
      </c>
      <c r="C79" s="93" t="s">
        <v>111</v>
      </c>
      <c r="D79" s="94">
        <v>11</v>
      </c>
      <c r="E79" s="103" t="s">
        <v>159</v>
      </c>
      <c r="F79" s="96" t="s">
        <v>117</v>
      </c>
      <c r="G79" s="97"/>
      <c r="H79" s="97"/>
      <c r="I79" s="97"/>
      <c r="J79" s="97"/>
    </row>
    <row r="80" spans="2:10" x14ac:dyDescent="0.25">
      <c r="B80" s="92">
        <f>StartDate+74</f>
        <v>46311</v>
      </c>
      <c r="C80" s="93" t="s">
        <v>112</v>
      </c>
      <c r="D80" s="94">
        <v>11</v>
      </c>
      <c r="E80" s="103" t="s">
        <v>159</v>
      </c>
      <c r="F80" s="98" t="s">
        <v>118</v>
      </c>
      <c r="G80" s="97"/>
      <c r="H80" s="97"/>
      <c r="I80" s="97"/>
      <c r="J80" s="97"/>
    </row>
    <row r="81" spans="2:10" x14ac:dyDescent="0.25">
      <c r="B81" s="92">
        <f>StartDate+75</f>
        <v>46312</v>
      </c>
      <c r="C81" s="93" t="s">
        <v>339</v>
      </c>
      <c r="D81" s="94">
        <v>11</v>
      </c>
      <c r="E81" s="103" t="s">
        <v>159</v>
      </c>
      <c r="F81" s="100" t="s">
        <v>160</v>
      </c>
      <c r="G81" s="97"/>
      <c r="H81" s="97"/>
      <c r="I81" s="97"/>
      <c r="J81" s="97"/>
    </row>
    <row r="82" spans="2:10" x14ac:dyDescent="0.25">
      <c r="B82" s="92">
        <f>StartDate+76</f>
        <v>46313</v>
      </c>
      <c r="C82" s="93" t="s">
        <v>114</v>
      </c>
      <c r="D82" s="94">
        <v>11</v>
      </c>
      <c r="E82" s="103" t="s">
        <v>159</v>
      </c>
      <c r="F82" s="96" t="s">
        <v>121</v>
      </c>
      <c r="G82" s="97"/>
      <c r="H82" s="97"/>
      <c r="I82" s="97"/>
      <c r="J82" s="97"/>
    </row>
    <row r="83" spans="2:10" x14ac:dyDescent="0.25">
      <c r="B83" s="92">
        <f>StartDate+77</f>
        <v>46314</v>
      </c>
      <c r="C83" s="93" t="s">
        <v>108</v>
      </c>
      <c r="D83" s="94">
        <v>12</v>
      </c>
      <c r="E83" s="103" t="s">
        <v>162</v>
      </c>
      <c r="F83" s="96" t="s">
        <v>117</v>
      </c>
      <c r="G83" s="97"/>
      <c r="H83" s="97"/>
      <c r="I83" s="97"/>
      <c r="J83" s="97"/>
    </row>
    <row r="84" spans="2:10" x14ac:dyDescent="0.25">
      <c r="B84" s="92">
        <f>StartDate+78</f>
        <v>46315</v>
      </c>
      <c r="C84" s="93" t="s">
        <v>109</v>
      </c>
      <c r="D84" s="94">
        <v>12</v>
      </c>
      <c r="E84" s="103" t="s">
        <v>162</v>
      </c>
      <c r="F84" s="98" t="s">
        <v>118</v>
      </c>
      <c r="G84" s="97"/>
      <c r="H84" s="97"/>
      <c r="I84" s="97"/>
      <c r="J84" s="97"/>
    </row>
    <row r="85" spans="2:10" x14ac:dyDescent="0.25">
      <c r="B85" s="92">
        <f>StartDate+79</f>
        <v>46316</v>
      </c>
      <c r="C85" s="93" t="s">
        <v>338</v>
      </c>
      <c r="D85" s="94">
        <v>12</v>
      </c>
      <c r="E85" s="103" t="s">
        <v>162</v>
      </c>
      <c r="F85" s="99" t="s">
        <v>163</v>
      </c>
      <c r="G85" s="97"/>
      <c r="H85" s="97"/>
      <c r="I85" s="97"/>
      <c r="J85" s="97"/>
    </row>
    <row r="86" spans="2:10" x14ac:dyDescent="0.25">
      <c r="B86" s="92">
        <f>StartDate+80</f>
        <v>46317</v>
      </c>
      <c r="C86" s="93" t="s">
        <v>111</v>
      </c>
      <c r="D86" s="94">
        <v>12</v>
      </c>
      <c r="E86" s="103" t="s">
        <v>162</v>
      </c>
      <c r="F86" s="96" t="s">
        <v>117</v>
      </c>
      <c r="G86" s="97"/>
      <c r="H86" s="97"/>
      <c r="I86" s="97"/>
      <c r="J86" s="97"/>
    </row>
    <row r="87" spans="2:10" x14ac:dyDescent="0.25">
      <c r="B87" s="92">
        <f>StartDate+81</f>
        <v>46318</v>
      </c>
      <c r="C87" s="93" t="s">
        <v>112</v>
      </c>
      <c r="D87" s="94">
        <v>12</v>
      </c>
      <c r="E87" s="103" t="s">
        <v>162</v>
      </c>
      <c r="F87" s="98" t="s">
        <v>118</v>
      </c>
      <c r="G87" s="97"/>
      <c r="H87" s="97"/>
      <c r="I87" s="97"/>
      <c r="J87" s="97"/>
    </row>
    <row r="88" spans="2:10" x14ac:dyDescent="0.25">
      <c r="B88" s="92">
        <f>StartDate+82</f>
        <v>46319</v>
      </c>
      <c r="C88" s="93" t="s">
        <v>339</v>
      </c>
      <c r="D88" s="94">
        <v>12</v>
      </c>
      <c r="E88" s="103" t="s">
        <v>162</v>
      </c>
      <c r="F88" s="100" t="s">
        <v>164</v>
      </c>
      <c r="G88" s="97"/>
      <c r="H88" s="97"/>
      <c r="I88" s="97"/>
      <c r="J88" s="97"/>
    </row>
    <row r="89" spans="2:10" x14ac:dyDescent="0.25">
      <c r="B89" s="92">
        <f>StartDate+83</f>
        <v>46320</v>
      </c>
      <c r="C89" s="93" t="s">
        <v>114</v>
      </c>
      <c r="D89" s="94">
        <v>12</v>
      </c>
      <c r="E89" s="103" t="s">
        <v>162</v>
      </c>
      <c r="F89" s="96" t="s">
        <v>121</v>
      </c>
      <c r="G89" s="97"/>
      <c r="H89" s="97"/>
      <c r="I89" s="97"/>
      <c r="J89" s="97"/>
    </row>
    <row r="90" spans="2:10" x14ac:dyDescent="0.25">
      <c r="B90" s="92">
        <f>StartDate+84</f>
        <v>46321</v>
      </c>
      <c r="C90" s="93" t="s">
        <v>108</v>
      </c>
      <c r="D90" s="94">
        <v>13</v>
      </c>
      <c r="E90" s="103" t="s">
        <v>166</v>
      </c>
      <c r="F90" s="96" t="s">
        <v>117</v>
      </c>
      <c r="G90" s="97"/>
      <c r="H90" s="97"/>
      <c r="I90" s="97"/>
      <c r="J90" s="97"/>
    </row>
    <row r="91" spans="2:10" x14ac:dyDescent="0.25">
      <c r="B91" s="92">
        <f>StartDate+85</f>
        <v>46322</v>
      </c>
      <c r="C91" s="93" t="s">
        <v>109</v>
      </c>
      <c r="D91" s="94">
        <v>13</v>
      </c>
      <c r="E91" s="103" t="s">
        <v>166</v>
      </c>
      <c r="F91" s="98" t="s">
        <v>118</v>
      </c>
      <c r="G91" s="97"/>
      <c r="H91" s="97"/>
      <c r="I91" s="97"/>
      <c r="J91" s="97"/>
    </row>
    <row r="92" spans="2:10" x14ac:dyDescent="0.25">
      <c r="B92" s="92">
        <f>StartDate+86</f>
        <v>46323</v>
      </c>
      <c r="C92" s="93" t="s">
        <v>338</v>
      </c>
      <c r="D92" s="94">
        <v>13</v>
      </c>
      <c r="E92" s="103" t="s">
        <v>166</v>
      </c>
      <c r="F92" s="99" t="s">
        <v>167</v>
      </c>
      <c r="G92" s="97"/>
      <c r="H92" s="97"/>
      <c r="I92" s="97"/>
      <c r="J92" s="97"/>
    </row>
    <row r="93" spans="2:10" x14ac:dyDescent="0.25">
      <c r="B93" s="92">
        <f>StartDate+87</f>
        <v>46324</v>
      </c>
      <c r="C93" s="93" t="s">
        <v>111</v>
      </c>
      <c r="D93" s="94">
        <v>13</v>
      </c>
      <c r="E93" s="103" t="s">
        <v>166</v>
      </c>
      <c r="F93" s="96" t="s">
        <v>117</v>
      </c>
      <c r="G93" s="97"/>
      <c r="H93" s="97"/>
      <c r="I93" s="97"/>
      <c r="J93" s="97"/>
    </row>
    <row r="94" spans="2:10" x14ac:dyDescent="0.25">
      <c r="B94" s="92">
        <f>StartDate+88</f>
        <v>46325</v>
      </c>
      <c r="C94" s="93" t="s">
        <v>112</v>
      </c>
      <c r="D94" s="94">
        <v>13</v>
      </c>
      <c r="E94" s="103" t="s">
        <v>166</v>
      </c>
      <c r="F94" s="98" t="s">
        <v>118</v>
      </c>
      <c r="G94" s="97"/>
      <c r="H94" s="97"/>
      <c r="I94" s="97"/>
      <c r="J94" s="97"/>
    </row>
    <row r="95" spans="2:10" x14ac:dyDescent="0.25">
      <c r="B95" s="92">
        <f>StartDate+89</f>
        <v>46326</v>
      </c>
      <c r="C95" s="93" t="s">
        <v>339</v>
      </c>
      <c r="D95" s="94">
        <v>13</v>
      </c>
      <c r="E95" s="103" t="s">
        <v>166</v>
      </c>
      <c r="F95" s="100" t="s">
        <v>168</v>
      </c>
      <c r="G95" s="97"/>
      <c r="H95" s="97"/>
      <c r="I95" s="97"/>
      <c r="J95" s="97"/>
    </row>
    <row r="96" spans="2:10" x14ac:dyDescent="0.25">
      <c r="B96" s="92">
        <f>StartDate+90</f>
        <v>46327</v>
      </c>
      <c r="C96" s="93" t="s">
        <v>114</v>
      </c>
      <c r="D96" s="94">
        <v>13</v>
      </c>
      <c r="E96" s="103" t="s">
        <v>166</v>
      </c>
      <c r="F96" s="96" t="s">
        <v>121</v>
      </c>
      <c r="G96" s="97"/>
      <c r="H96" s="97"/>
      <c r="I96" s="97"/>
      <c r="J96" s="97"/>
    </row>
    <row r="97" spans="2:10" x14ac:dyDescent="0.25">
      <c r="B97" s="92">
        <f>StartDate+91</f>
        <v>46328</v>
      </c>
      <c r="C97" s="93" t="s">
        <v>108</v>
      </c>
      <c r="D97" s="94">
        <v>14</v>
      </c>
      <c r="E97" s="104" t="s">
        <v>170</v>
      </c>
      <c r="F97" s="96" t="s">
        <v>117</v>
      </c>
      <c r="G97" s="97"/>
      <c r="H97" s="97"/>
      <c r="I97" s="97"/>
      <c r="J97" s="97"/>
    </row>
    <row r="98" spans="2:10" x14ac:dyDescent="0.25">
      <c r="B98" s="92">
        <f>StartDate+92</f>
        <v>46329</v>
      </c>
      <c r="C98" s="93" t="s">
        <v>109</v>
      </c>
      <c r="D98" s="94">
        <v>14</v>
      </c>
      <c r="E98" s="104" t="s">
        <v>170</v>
      </c>
      <c r="F98" s="98" t="s">
        <v>118</v>
      </c>
      <c r="G98" s="97"/>
      <c r="H98" s="97"/>
      <c r="I98" s="97"/>
      <c r="J98" s="97"/>
    </row>
    <row r="99" spans="2:10" x14ac:dyDescent="0.25">
      <c r="B99" s="92">
        <f>StartDate+93</f>
        <v>46330</v>
      </c>
      <c r="C99" s="93" t="s">
        <v>338</v>
      </c>
      <c r="D99" s="94">
        <v>14</v>
      </c>
      <c r="E99" s="104" t="s">
        <v>170</v>
      </c>
      <c r="F99" s="99" t="s">
        <v>171</v>
      </c>
      <c r="G99" s="97"/>
      <c r="H99" s="97"/>
      <c r="I99" s="97"/>
      <c r="J99" s="97"/>
    </row>
    <row r="100" spans="2:10" x14ac:dyDescent="0.25">
      <c r="B100" s="92">
        <f>StartDate+94</f>
        <v>46331</v>
      </c>
      <c r="C100" s="93" t="s">
        <v>111</v>
      </c>
      <c r="D100" s="94">
        <v>14</v>
      </c>
      <c r="E100" s="104" t="s">
        <v>170</v>
      </c>
      <c r="F100" s="96" t="s">
        <v>117</v>
      </c>
      <c r="G100" s="97"/>
      <c r="H100" s="97"/>
      <c r="I100" s="97"/>
      <c r="J100" s="97"/>
    </row>
    <row r="101" spans="2:10" x14ac:dyDescent="0.25">
      <c r="B101" s="92">
        <f>StartDate+95</f>
        <v>46332</v>
      </c>
      <c r="C101" s="93" t="s">
        <v>112</v>
      </c>
      <c r="D101" s="94">
        <v>14</v>
      </c>
      <c r="E101" s="104" t="s">
        <v>170</v>
      </c>
      <c r="F101" s="98" t="s">
        <v>172</v>
      </c>
      <c r="G101" s="97"/>
      <c r="H101" s="97"/>
      <c r="I101" s="97"/>
      <c r="J101" s="97"/>
    </row>
    <row r="102" spans="2:10" x14ac:dyDescent="0.25">
      <c r="B102" s="92">
        <f>StartDate+96</f>
        <v>46333</v>
      </c>
      <c r="C102" s="93" t="s">
        <v>339</v>
      </c>
      <c r="D102" s="94">
        <v>14</v>
      </c>
      <c r="E102" s="104" t="s">
        <v>170</v>
      </c>
      <c r="F102" s="100" t="s">
        <v>173</v>
      </c>
      <c r="G102" s="97"/>
      <c r="H102" s="97"/>
      <c r="I102" s="97"/>
      <c r="J102" s="97"/>
    </row>
    <row r="103" spans="2:10" x14ac:dyDescent="0.25">
      <c r="B103" s="92">
        <f>StartDate+97</f>
        <v>46334</v>
      </c>
      <c r="C103" s="93" t="s">
        <v>114</v>
      </c>
      <c r="D103" s="94">
        <v>14</v>
      </c>
      <c r="E103" s="104" t="s">
        <v>170</v>
      </c>
      <c r="F103" s="96" t="s">
        <v>121</v>
      </c>
      <c r="G103" s="97"/>
      <c r="H103" s="97"/>
      <c r="I103" s="97"/>
      <c r="J103" s="97"/>
    </row>
    <row r="104" spans="2:10" ht="25.5" x14ac:dyDescent="0.25">
      <c r="B104" s="92">
        <f>StartDate+98</f>
        <v>46335</v>
      </c>
      <c r="C104" s="93" t="s">
        <v>108</v>
      </c>
      <c r="D104" s="94">
        <v>15</v>
      </c>
      <c r="E104" s="105" t="s">
        <v>175</v>
      </c>
      <c r="F104" s="96" t="s">
        <v>121</v>
      </c>
      <c r="G104" s="97"/>
      <c r="H104" s="97"/>
      <c r="I104" s="97"/>
      <c r="J104" s="97"/>
    </row>
    <row r="105" spans="2:10" ht="25.5" x14ac:dyDescent="0.25">
      <c r="B105" s="92">
        <f>StartDate+99</f>
        <v>46336</v>
      </c>
      <c r="C105" s="93" t="s">
        <v>109</v>
      </c>
      <c r="D105" s="94">
        <v>15</v>
      </c>
      <c r="E105" s="105" t="s">
        <v>175</v>
      </c>
      <c r="F105" s="106" t="s">
        <v>176</v>
      </c>
      <c r="G105" s="97"/>
      <c r="H105" s="97"/>
      <c r="I105" s="97"/>
      <c r="J105" s="97"/>
    </row>
    <row r="106" spans="2:10" ht="25.5" x14ac:dyDescent="0.25">
      <c r="B106" s="92">
        <f>StartDate+100</f>
        <v>46337</v>
      </c>
      <c r="C106" s="93" t="s">
        <v>338</v>
      </c>
      <c r="D106" s="94">
        <v>15</v>
      </c>
      <c r="E106" s="105" t="s">
        <v>175</v>
      </c>
      <c r="F106" s="98" t="s">
        <v>177</v>
      </c>
      <c r="G106" s="97"/>
      <c r="H106" s="97"/>
      <c r="I106" s="97"/>
      <c r="J106" s="97"/>
    </row>
    <row r="107" spans="2:10" ht="25.5" x14ac:dyDescent="0.25">
      <c r="B107" s="92">
        <f>StartDate+101</f>
        <v>46338</v>
      </c>
      <c r="C107" s="93" t="s">
        <v>111</v>
      </c>
      <c r="D107" s="94">
        <v>15</v>
      </c>
      <c r="E107" s="105" t="s">
        <v>175</v>
      </c>
      <c r="F107" s="96" t="s">
        <v>121</v>
      </c>
      <c r="G107" s="97"/>
      <c r="H107" s="97"/>
      <c r="I107" s="97"/>
      <c r="J107" s="97"/>
    </row>
    <row r="108" spans="2:10" ht="25.5" x14ac:dyDescent="0.25">
      <c r="B108" s="92">
        <f>StartDate+102</f>
        <v>46339</v>
      </c>
      <c r="C108" s="93" t="s">
        <v>112</v>
      </c>
      <c r="D108" s="94">
        <v>15</v>
      </c>
      <c r="E108" s="105" t="s">
        <v>175</v>
      </c>
      <c r="F108" s="107" t="s">
        <v>178</v>
      </c>
      <c r="G108" s="97"/>
      <c r="H108" s="97"/>
      <c r="I108" s="97"/>
      <c r="J108" s="97"/>
    </row>
    <row r="109" spans="2:10" ht="38.25" x14ac:dyDescent="0.25">
      <c r="B109" s="92">
        <f>StartDate+103</f>
        <v>46340</v>
      </c>
      <c r="C109" s="93" t="s">
        <v>339</v>
      </c>
      <c r="D109" s="94">
        <v>15</v>
      </c>
      <c r="E109" s="105" t="s">
        <v>175</v>
      </c>
      <c r="F109" s="108" t="s">
        <v>179</v>
      </c>
      <c r="G109" s="97"/>
      <c r="H109" s="97"/>
      <c r="I109" s="97"/>
      <c r="J109" s="97"/>
    </row>
    <row r="110" spans="2:10" ht="25.5" x14ac:dyDescent="0.25">
      <c r="B110" s="92">
        <f>StartDate+104</f>
        <v>46341</v>
      </c>
      <c r="C110" s="93" t="s">
        <v>114</v>
      </c>
      <c r="D110" s="94">
        <v>15</v>
      </c>
      <c r="E110" s="105" t="s">
        <v>175</v>
      </c>
      <c r="F110" s="96" t="s">
        <v>121</v>
      </c>
      <c r="G110" s="97"/>
      <c r="H110" s="97"/>
      <c r="I110" s="97"/>
      <c r="J110" s="97"/>
    </row>
    <row r="111" spans="2:10" x14ac:dyDescent="0.25">
      <c r="B111" s="92">
        <f>StartDate+105</f>
        <v>46342</v>
      </c>
      <c r="C111" s="93" t="s">
        <v>108</v>
      </c>
      <c r="D111" s="94">
        <v>16</v>
      </c>
      <c r="E111" s="98" t="s">
        <v>24</v>
      </c>
      <c r="F111" s="96" t="s">
        <v>181</v>
      </c>
      <c r="G111" s="97"/>
      <c r="H111" s="97"/>
      <c r="I111" s="97"/>
      <c r="J111" s="97"/>
    </row>
    <row r="112" spans="2:10" x14ac:dyDescent="0.25">
      <c r="B112" s="92">
        <f>StartDate+106</f>
        <v>46343</v>
      </c>
      <c r="C112" s="93" t="s">
        <v>109</v>
      </c>
      <c r="D112" s="94">
        <v>16</v>
      </c>
      <c r="E112" s="98" t="s">
        <v>24</v>
      </c>
      <c r="F112" s="98" t="s">
        <v>182</v>
      </c>
      <c r="G112" s="97"/>
      <c r="H112" s="97"/>
      <c r="I112" s="97"/>
      <c r="J112" s="97"/>
    </row>
    <row r="113" spans="2:10" x14ac:dyDescent="0.25">
      <c r="B113" s="92">
        <f>StartDate+107</f>
        <v>46344</v>
      </c>
      <c r="C113" s="93" t="s">
        <v>338</v>
      </c>
      <c r="D113" s="94">
        <v>16</v>
      </c>
      <c r="E113" s="98" t="s">
        <v>24</v>
      </c>
      <c r="F113" s="109" t="s">
        <v>183</v>
      </c>
      <c r="G113" s="97"/>
      <c r="H113" s="97"/>
      <c r="I113" s="97"/>
      <c r="J113" s="97"/>
    </row>
    <row r="114" spans="2:10" x14ac:dyDescent="0.25">
      <c r="B114" s="92">
        <f>StartDate+108</f>
        <v>46345</v>
      </c>
      <c r="C114" s="93" t="s">
        <v>111</v>
      </c>
      <c r="D114" s="94">
        <v>16</v>
      </c>
      <c r="E114" s="98" t="s">
        <v>24</v>
      </c>
      <c r="F114" s="96" t="s">
        <v>121</v>
      </c>
      <c r="G114" s="97"/>
      <c r="H114" s="97"/>
      <c r="I114" s="97"/>
      <c r="J114" s="97"/>
    </row>
    <row r="115" spans="2:10" x14ac:dyDescent="0.25">
      <c r="B115" s="92">
        <f>StartDate+109</f>
        <v>46346</v>
      </c>
      <c r="C115" s="93" t="s">
        <v>112</v>
      </c>
      <c r="D115" s="94">
        <v>16</v>
      </c>
      <c r="E115" s="98" t="s">
        <v>24</v>
      </c>
      <c r="F115" s="98" t="s">
        <v>184</v>
      </c>
      <c r="G115" s="97"/>
      <c r="H115" s="97"/>
      <c r="I115" s="97"/>
      <c r="J115" s="97"/>
    </row>
    <row r="116" spans="2:10" x14ac:dyDescent="0.25">
      <c r="B116" s="92">
        <f>StartDate+110</f>
        <v>46347</v>
      </c>
      <c r="C116" s="93" t="s">
        <v>339</v>
      </c>
      <c r="D116" s="94">
        <v>16</v>
      </c>
      <c r="E116" s="98" t="s">
        <v>24</v>
      </c>
      <c r="F116" s="109" t="s">
        <v>185</v>
      </c>
      <c r="G116" s="97"/>
      <c r="H116" s="97"/>
      <c r="I116" s="97"/>
      <c r="J116" s="97"/>
    </row>
    <row r="117" spans="2:10" x14ac:dyDescent="0.25">
      <c r="B117" s="92">
        <f>StartDate+111</f>
        <v>46348</v>
      </c>
      <c r="C117" s="93" t="s">
        <v>114</v>
      </c>
      <c r="D117" s="94">
        <v>16</v>
      </c>
      <c r="E117" s="98" t="s">
        <v>24</v>
      </c>
      <c r="F117" s="96" t="s">
        <v>121</v>
      </c>
      <c r="G117" s="97"/>
      <c r="H117" s="97"/>
      <c r="I117" s="97"/>
      <c r="J117" s="97"/>
    </row>
  </sheetData>
  <mergeCells count="2">
    <mergeCell ref="B2:J2"/>
    <mergeCell ref="B3:J3"/>
  </mergeCells>
  <dataValidations count="1">
    <dataValidation type="list" allowBlank="1" sqref="G6:G117" xr:uid="{00000000-0002-0000-0700-000000000000}">
      <formula1>"Planned,Completed,Modified,Missed"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Cover</vt:lpstr>
      <vt:lpstr>Inputs</vt:lpstr>
      <vt:lpstr>Dashboard</vt:lpstr>
      <vt:lpstr>SB Calendar</vt:lpstr>
      <vt:lpstr>Workout Library</vt:lpstr>
      <vt:lpstr>Paces &amp; Race Predictor</vt:lpstr>
      <vt:lpstr>Coach Philosophy</vt:lpstr>
      <vt:lpstr>Progress Log</vt:lpstr>
      <vt:lpstr>EasyMinOvr</vt:lpstr>
      <vt:lpstr>EasySecOvr</vt:lpstr>
      <vt:lpstr>EndDate</vt:lpstr>
      <vt:lpstr>RaceDate</vt:lpstr>
      <vt:lpstr>StartDate</vt:lpstr>
      <vt:lpstr>T_min</vt:lpstr>
      <vt:lpstr>T_sec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Bjorn Natwick</cp:lastModifiedBy>
  <cp:revision>1</cp:revision>
  <dcterms:created xsi:type="dcterms:W3CDTF">2026-07-19T01:51:24Z</dcterms:created>
  <dcterms:modified xsi:type="dcterms:W3CDTF">2026-07-23T15:58:08Z</dcterms:modified>
  <dc:language>en-US</dc:language>
</cp:coreProperties>
</file>